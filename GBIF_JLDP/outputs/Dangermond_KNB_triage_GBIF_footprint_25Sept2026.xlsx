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KNB_Triage" sheetId="2" state="visible" r:id="rId4"/>
    <sheet name="GBIF_by_Publisher" sheetId="3" state="visible" r:id="rId5"/>
    <sheet name="GBIF_by_Dataset" sheetId="4" state="visible" r:id="rId6"/>
    <sheet name="Taxon_Gaps" sheetId="5" state="visible" r:id="rId7"/>
  </sheets>
  <definedNames>
    <definedName function="false" hidden="true" localSheetId="3" name="_xlnm._FilterDatabase" vbProcedure="false">GBIF_by_Dataset!$A$1:$G$131</definedName>
    <definedName function="false" hidden="true" localSheetId="2" name="_xlnm._FilterDatabase" vbProcedure="false">GBIF_by_Publisher!$A$1:$M$81</definedName>
    <definedName function="false" hidden="true" localSheetId="1" name="_xlnm._FilterDatabase" vbProcedure="false">KNB_Triage!$A$1:$O$51</definedName>
    <definedName function="false" hidden="true" localSheetId="4" name="_xlnm._FilterDatabase" vbProcedure="false">Taxon_Gaps!$A$1:$F$15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<sst xmlns="http://schemas.openxmlformats.org/spreadsheetml/2006/main" count="1601" uniqueCount="919">
  <si>
    <t xml:space="preserve">Dangermond Preserve: KNB/DataONE organism-data triage + GBIF records in the Preserve footprint</t>
  </si>
  <si>
    <t xml:space="preserve">Prepared 25 Sept 2026. Input: Dangermond_DataOne_datasets_25Sept2026_reformatted3.xlsx (50 unique IDs across the three sheets).</t>
  </si>
  <si>
    <t xml:space="preserve">KNB triage method</t>
  </si>
  <si>
    <t xml:space="preserve">Metadata for each KNB package pulled from the KNB member-node Solr index (title, abstract, EML attribute names, bounding box, license, obsolescence, data-file list). Candidate data files (small CSV/XLSX) were downloaded and inspected for taxon fields, coordinates, and dates. Large radar track files (~0.5 GB each) and large zips were not opened. OpenTopography and HydroShare entries were classified from their titles.</t>
  </si>
  <si>
    <t xml:space="preserve">Tiers: A = occurrence-ready (taxon + coordinates + date in the data); B = organism data but needs georeferencing or restructuring; C = checklist only; D = organism detections without taxon IDs, or derived products; E = no organism data.</t>
  </si>
  <si>
    <t xml:space="preserve">GBIF query method</t>
  </si>
  <si>
    <t xml:space="preserve">Footprint = TNC official Preserve boundary (jldp_boundary_5118312009426331720.geojson, "The Dangermond Preserve", GIS_Acres 24,458.6) supplied by the analyst 25 Sept 2026. A first pass used a NASA VITALS copy of the boundary; it differed by &lt;10 acres and changed parcel counts by only 5 records.</t>
  </si>
  <si>
    <t xml:space="preserve">Polygon simplified to 20 m tolerance (area change &lt;0.1%) for the GBIF API. A second query used a 500 m buffer because the parcel line sits at the shoreline and cliff-nest/intertidal/haulout records fall just outside it.</t>
  </si>
  <si>
    <t xml:space="preserve">GBIF occurrence API (api.gbif.org/v1/occurrence/search), geometry filter, facet counts by publishingOrg, datasetKey, basisOfRecord and year. Counts are live-index snapshots on 25 Sept 2026. Records without coordinates are excluded by a geometry query; a full-text search for "Dangermond" returned only 13 records lacking coordinates.</t>
  </si>
  <si>
    <t xml:space="preserve">Headline results</t>
  </si>
  <si>
    <t xml:space="preserve">No KNB/DataONE Dangermond package was found as a GBIF dataset (GBIF dataset search for Dangermond, Point Conception, Jalama, Cojo, VTM, WMTC, Point Blue returned nothing relevant). TNC is not a registered GBIF publisher.</t>
  </si>
  <si>
    <t xml:space="preserve">5 KNB packages are occurrence-ready (Tier A), 6 more hold organism data needing work (Tier B), 8 are checklists (4 are obsolete versions), 5 have detections/derived products without taxon IDs, 26 contain no organism data.</t>
  </si>
  <si>
    <t xml:space="preserve">GBIF has 25,591 occurrences inside the parcel polygon (49,203 with the 500 m buffer) from 63 publishers; iBOL (13,453; one Malaise-trap site, 2022–2023) and eBird (8,663) account for 86% of in-parcel records.</t>
  </si>
  <si>
    <t xml:space="preserve">Footprint WKT used (simplified)</t>
  </si>
  <si>
    <t xml:space="preserve">POLYGON((-120.47369 34.56988,-120.47584 34.57036,-120.48747 34.57419,-120.49157 34.51531,-120.49042 34.51531,-120.49034 34.51473,-120.49062 34.51444,-120.49163 34.51441,-120.49189 34.51180,-120.49240 34.51169,-120.49228 34.51080,-120.49320 34.51103,-120.49508 34.51087,-120.49505 34.51210,-120.49600 34.51257,-120.49819 34.51304,-120.49800 34.51069,-120.49888 34.51018,-120.49930 34.50713,-120.49614 34.50114,-120.49802 34.50057,-120.49632 34.49551,-120.49544 34.49476,-120.49358 34.49460,-120.49099 34.49210,-120.49019 34.48957,-120.48821 34.48705,-120.48534 34.48476,-120.48283 34.48361,-120.47845 34.47974,-120.47557 34.47364,-120.47412 34.46815,-120.47330 34.45797,-120.47248 34.45413,-120.47118 34.45301,-120.47014 34.45043,-120.47119 34.44979,-120.47140 34.44906,-120.47185 34.44883,-120.47178 34.44827,-120.47107 34.44851,-120.47063 34.44831,-120.47004 34.44925,-120.46847 34.44988,-120.46764 34.44895,-120.46596 34.44962,-120.46324 34.44892,-120.46235 34.44855,-120.46176 34.44789,-120.46032 34.44783,-120.45874 34.44686,-120.45836 34.44589,-120.45881 34.44515,-120.45859 34.44462,-120.45744 34.44489,-120.45660 34.44445,-120.45626 34.44333,-120.45424 34.44307,-120.45267 34.44230,-120.45196 34.44288,-120.45274 34.44397,-120.45300 34.44525,-120.45239 34.44637,-120.45135 34.44732,-120.44621 34.44910,-120.44554 34.45038,-120.44410 34.45124,-120.44118 34.45172,-120.43816 34.45143,-120.43568 34.45155,-120.42608 34.44999,-120.42300 34.44975,-120.42036 34.45043,-120.41962 34.45098,-120.41814 34.45305,-120.41644 34.45354,-120.41264 34.49340,-120.37785 34.49419,-120.36776 34.50013,-120.35914 34.50026,-120.35771 34.50322,-120.36123 34.50328,-120.36251 34.50495,-120.36345 34.50549,-120.36403 34.50773,-120.36334 34.50973,-120.36504 34.51226,-120.36484 34.51323,-120.36593 34.51508,-120.37240 34.51514,-120.37479 34.51699,-120.37530 34.51907,-120.37607 34.52017,-120.37538 34.52172,-120.37948 34.52320,-120.38102 34.52327,-120.38094 34.52238,-120.38253 34.52271,-120.38316 34.52317,-120.38395 34.52306,-120.38425 34.52363,-120.38504 34.52379,-120.38527 34.52470,-120.38659 34.52568,-120.38803 34.52630,-120.39198 34.52679,-120.39429 34.52811,-120.39754 34.52840,-120.39818 34.52829,-120.39837 34.52751,-120.39947 34.52963,-120.40253 34.53067,-120.40497 34.53197,-120.40791 34.53529,-120.41072 34.53717,-120.40978 34.54080,-120.40744 34.54165,-120.40632 34.54308,-120.40753 34.54566,-120.40697 34.54658,-120.40812 34.54718,-120.41227 34.54658,-120.42048 34.54663,-120.42358 34.54531,-120.42568 34.54571,-120.42939 34.54706,-120.43232 34.54874,-120.43008 34.55575,-120.43029 34.55902,-120.43287 34.55913,-120.43411 34.55972,-120.43571 34.56000,-120.43910 34.55934,-120.44084 34.55967,-120.44985 34.56280,-120.45069 34.56316,-120.45216 34.56447,-120.45700 34.56441,-120.45814 34.56538,-120.45930 34.56561,-120.46001 34.56693,-120.46098 34.56753,-120.46168 34.56762,-120.46520 34.57033,-120.46647 34.57000,-120.47369 34.56988))</t>
  </si>
  <si>
    <t xml:space="preserve">Title</t>
  </si>
  <si>
    <t xml:space="preserve">Year</t>
  </si>
  <si>
    <t xml:space="preserve">Authors</t>
  </si>
  <si>
    <t xml:space="preserve">ID</t>
  </si>
  <si>
    <t xml:space="preserve">Repository</t>
  </si>
  <si>
    <t xml:space="preserve">Triage tier</t>
  </si>
  <si>
    <t xml:space="preserve">Organism data?</t>
  </si>
  <si>
    <t xml:space="preserve">Location detail</t>
  </si>
  <si>
    <t xml:space="preserve">Taxa / organism fields</t>
  </si>
  <si>
    <t xml:space="preserve">Est. occurrence-convertible records</t>
  </si>
  <si>
    <t xml:space="preserve">Relation to Preserve footprint</t>
  </si>
  <si>
    <t xml:space="preserve">License (EML)</t>
  </si>
  <si>
    <t xml:space="preserve">Obsoleted by</t>
  </si>
  <si>
    <t xml:space="preserve">Publishing hurdles / notes</t>
  </si>
  <si>
    <t xml:space="preserve">In GBIF?</t>
  </si>
  <si>
    <t xml:space="preserve">Abundance and species composition of benthic heterobranch gastropods from Jalama Beach, Santa Barbara County, California, 1998–2024</t>
  </si>
  <si>
    <t xml:space="preserve">Jeffrey Goddard</t>
  </si>
  <si>
    <t xml:space="preserve">doi:10.5063/F14Q7SGC</t>
  </si>
  <si>
    <t xml:space="preserve">Knowledge Network for Biocomplexity</t>
  </si>
  <si>
    <t xml:space="preserve">A – Occurrence-ready</t>
  </si>
  <si>
    <t xml:space="preserve">Yes</t>
  </si>
  <si>
    <t xml:space="preserve">Site names (3 sites) + single point in EML (34.526, -120.5166); date per trip</t>
  </si>
  <si>
    <t xml:space="preserve">45 heterobranch species (Recorded_name + Genus/Species/Order); counts incl. zeros; egg masses; observer hours</t>
  </si>
  <si>
    <t xml:space="preserve">720 rows (165 non-zero = presences, 555 absences)</t>
  </si>
  <si>
    <t xml:space="preserve">Metadata point is OUTSIDE the preserve polygon and buffer (Jalama Beach County Park area) – verify whether Tarantula Reef is on Preserve</t>
  </si>
  <si>
    <t xml:space="preserve">CC0</t>
  </si>
  <si>
    <t xml:space="preserve">Strong sampling-event candidate (effort + absences); site coordinates needed for the 3 sites; CC0; single-collector (Jeff Goddard) – easy permission</t>
  </si>
  <si>
    <t xml:space="preserve">No – no matching GBIF dataset found</t>
  </si>
  <si>
    <t xml:space="preserve">Breeding Seabird Surveys at The Nature Conservancy Dangermond Preserve 2024</t>
  </si>
  <si>
    <t xml:space="preserve">Julie Howar</t>
  </si>
  <si>
    <t xml:space="preserve">urn:uuid:5d40a83d-33bd-41ab-87c6-b8ebb4eb264d</t>
  </si>
  <si>
    <t xml:space="preserve">Per-nest lat/lon (decimal degrees); nest-visit date/time</t>
  </si>
  <si>
    <t xml:space="preserve">Species (4-letter codes: BRAC, WEGU, PECO, BLOY), adults, eggs, chicks, behavior</t>
  </si>
  <si>
    <t xml:space="preserve">75 nest-visit rows / 9+ nests (event-style)</t>
  </si>
  <si>
    <t xml:space="preserve">18 of 75 inside parcel polygon; 75/75 within 500 m buffer (cliff-face nests sit on the coastal edge)</t>
  </si>
  <si>
    <t xml:space="preserve">Alpha codes must be mapped to scientific names; decide occurrence vs. sampling-event structure; CC0 – no license barrier</t>
  </si>
  <si>
    <t xml:space="preserve">Western Snowy Plover Nests at The Nature Conservancy Dangermond Preserve 2024</t>
  </si>
  <si>
    <t xml:space="preserve">urn:uuid:4ec4857c-282b-4ba2-a52d-64d5ef707a54</t>
  </si>
  <si>
    <t xml:space="preserve">Per-nest UTM (WGS84, zone 10N)</t>
  </si>
  <si>
    <t xml:space="preserve">Single species (Western Snowy Plover); nest fate, clutch, chicks, banded adult IDs</t>
  </si>
  <si>
    <t xml:space="preserve">5 nests</t>
  </si>
  <si>
    <t xml:space="preserve">4 of 5 inside parcel; 5/5 within buffer</t>
  </si>
  <si>
    <t xml:space="preserve">CC-BY 4.0</t>
  </si>
  <si>
    <t xml:space="preserve">SENSITIVE: Charadrius nivosus nivosus (FT) – nest locations need generalization; Point Blue is collector (permission); UTM → decimal degrees; CC-BY 4.0. GBIF currently has 0 plover records in the parcel</t>
  </si>
  <si>
    <t xml:space="preserve">Integrated, multiscale bird and bat monitoring system technology testing, Government Point, 26-30 August 2024</t>
  </si>
  <si>
    <t xml:space="preserve">Grace Chang</t>
  </si>
  <si>
    <t xml:space="preserve">urn:uuid:c745abb8-f51f-4c6b-8184-5caedb9cb918</t>
  </si>
  <si>
    <t xml:space="preserve">Yes (bat acoustic xlsx only)</t>
  </si>
  <si>
    <t xml:space="preserve">Detector lat/lon (single point, Government Point), date/time per call</t>
  </si>
  <si>
    <t xml:space="preserve">Bat species codes: Tabr, Anpa, Myca, Myyu</t>
  </si>
  <si>
    <t xml:space="preserve">307 acoustic detections (would collapse to ~4 taxa × nights)</t>
  </si>
  <si>
    <t xml:space="preserve">Detector point inside parcel</t>
  </si>
  <si>
    <t xml:space="preserve">Acoustic auto-ID (verification status unknown → identificationVerificationStatus); codes need mapping; radar tracks (most of package, ~5 GB) are not taxon-level; CC0</t>
  </si>
  <si>
    <t xml:space="preserve">California Department of Fish and Wildlife Steelhead/Rainbow Trout Monitoring Data in Jalama Creek (Dangermond Preserve)</t>
  </si>
  <si>
    <t xml:space="preserve">Casey Horgan</t>
  </si>
  <si>
    <t xml:space="preserve">urn:uuid:e082f2bd-f7c7-4bd4-b2aa-b6d07454cec3</t>
  </si>
  <si>
    <t xml:space="preserve">Per-observation lat/lon + GPS error (ft); reach start/end coords for low-flow survey</t>
  </si>
  <si>
    <t xml:space="preserve">Common names only: Southern Western Pond Turtle, California Red-legged Frog, Two-striped Garter Snake; O. mykiss absence</t>
  </si>
  <si>
    <t xml:space="preserve">30 observations (redd survey); low-flow sheet has habitat data + zero O. mykiss</t>
  </si>
  <si>
    <t xml:space="preserve">28 of 30 inside parcel; 30/30 within buffer</t>
  </si>
  <si>
    <t xml:space="preserve">SENSITIVE: Rana draytonii (FT), Actinemys pallida (proposed FT), Thamnophis hammondii (SSC) – needs coordinate generalization decision; CDFW is data owner (permission); messy multi-header sheets; common names → scientific names; CC0</t>
  </si>
  <si>
    <t xml:space="preserve">Pinniped abundance on Point Conception, CA (Jul 2025 - Jun 2026)</t>
  </si>
  <si>
    <t xml:space="preserve">Lauren A. Cooley</t>
  </si>
  <si>
    <t xml:space="preserve">doi:10.5063/F169722S</t>
  </si>
  <si>
    <t xml:space="preserve">B – Organism data, needs georeferencing/restructuring</t>
  </si>
  <si>
    <t xml:space="preserve">Yes (summary tables)</t>
  </si>
  <si>
    <t xml:space="preserve">Named haulout sites (6) only; bbox is a single point</t>
  </si>
  <si>
    <t xml:space="preserve">Phoca vitulina counts by site/age class; Zalophus californianus in notes</t>
  </si>
  <si>
    <t xml:space="preserve">~8 surveys × 6 sites (aggregated counts)</t>
  </si>
  <si>
    <t xml:space="preserve">Single metadata point inside buffer; haulouts on coastal edge</t>
  </si>
  <si>
    <t xml:space="preserve">VSFB (military) data owner; summary layout not tidy; sites need coordinates; CC0. GBIF has 0 harbor seal records in parcel</t>
  </si>
  <si>
    <t xml:space="preserve">Shorebird Surveys at The Nature Conservancy Dangermond Preserve 2020-2024</t>
  </si>
  <si>
    <t xml:space="preserve">urn:uuid:c7b47681-61c7-4b9f-8206-8a36aa4f30e0</t>
  </si>
  <si>
    <t xml:space="preserve">Transect block codes (23 blocks, ~250 m beach segments) – no coordinates in data</t>
  </si>
  <si>
    <t xml:space="preserve">37 bird taxa as wide-format count columns (common names); also coyote/pig/raccoon track presence</t>
  </si>
  <si>
    <t xml:space="preserve">290 block-surveys → ~446 non-zero species counts (+ absences)</t>
  </si>
  <si>
    <t xml:space="preserve">Blocks are beach segments (coastal edge)</t>
  </si>
  <si>
    <t xml:space="preserve">Needs block centroids/lines (not in package); wide→long reshape; common→scientific names; includes Snowy Plover (sensitive); Point Blue permission; CC-BY 4.0; possible overlap with eBird if monitors also submit there</t>
  </si>
  <si>
    <t xml:space="preserve">Western Monarch Thanksgiving Count 2023</t>
  </si>
  <si>
    <t xml:space="preserve">Charis van der Heide</t>
  </si>
  <si>
    <t xml:space="preserve">urn:uuid:24e22597-af91-4f32-97a0-9d294d4cb0f4</t>
  </si>
  <si>
    <t xml:space="preserve">Yes (scanned datasheets)</t>
  </si>
  <si>
    <t xml:space="preserve">Two WMTC site IDs (2723 Upperwood Canyon, 2724 Cojo Ranch HQ); bbox</t>
  </si>
  <si>
    <t xml:space="preserve">Danaus plexippus counts</t>
  </si>
  <si>
    <t xml:space="preserve">4 site-date counts</t>
  </si>
  <si>
    <t xml:space="preserve">Inside parcel</t>
  </si>
  <si>
    <t xml:space="preserve">Data are JPG datasheets only (needs transcription); Xerces WMTC is the primary data steward – likely better routed via Xerces; CC0</t>
  </si>
  <si>
    <t xml:space="preserve">Jalama Creek Watershed (Santa Barbara County, California) Habitat Assessment Data, Collected October - November 2022</t>
  </si>
  <si>
    <t xml:space="preserve">Casey Horgan, Dane St. George, &amp; Kyle Evans</t>
  </si>
  <si>
    <t xml:space="preserve">urn:uuid:4166d1a6-b327-48ce-bfec-69346d1bfeae</t>
  </si>
  <si>
    <t xml:space="preserve">Incidental only</t>
  </si>
  <si>
    <t xml:space="preserve">Habitat-unit lat/lon (860 units)</t>
  </si>
  <si>
    <t xml:space="preserve">Free-text notes mention California red-legged frog (CRLF) sightings; bank vegetation coded, not named</t>
  </si>
  <si>
    <t xml:space="preserve">Handful of incidental CRLF notes</t>
  </si>
  <si>
    <t xml:space="preserve">Mostly inside parcel</t>
  </si>
  <si>
    <t xml:space="preserve">Incidental free text – low yield; CRLF sensitive; CC0</t>
  </si>
  <si>
    <t xml:space="preserve">Integrating Historical Change and Future Projections to Guide Conservation, The Bren School, University of California Santa Barbara, 2018-2019</t>
  </si>
  <si>
    <t xml:space="preserve">Brad Anderson, Meghan Bowen, Lucy Genua, Kym Howo, Genelle Ives, &amp; Tess Hooper</t>
  </si>
  <si>
    <t xml:space="preserve">urn:uuid:ed2770bb-576a-435b-8cd1-3b08fda03a74</t>
  </si>
  <si>
    <t xml:space="preserve">Yes (VTM subset)</t>
  </si>
  <si>
    <t xml:space="preserve">VTM plot GPS coordinates (48 points in sheet; 22 in buffer, 20 inside parcel)</t>
  </si>
  <si>
    <t xml:space="preserve">1931 Wieslander VTM brush/tree cover by species (e.g., 85 brush records across 17 plots in Total_Brush_1931.csv)</t>
  </si>
  <si>
    <t xml:space="preserve">~85–200 historical plot×species records (Dangermond plots)</t>
  </si>
  <si>
    <t xml:space="preserve">20 plot points inside parcel</t>
  </si>
  <si>
    <t xml:space="preserve">VTM_Master.xlsx is a statewide copy (17,860 plots) – source is UC Berkeley VTM, so this is secondary/derived data; better to trace whether VTM plot data are published elsewhere; historical names need updating; CC-BY 4.0</t>
  </si>
  <si>
    <t xml:space="preserve">Wild Pig Management at the Jack and Laura Dangermond Preserve (Population Study and Cost Analysis), The Bren School, University of California, Santa Barbara, 2020-2021</t>
  </si>
  <si>
    <t xml:space="preserve">Peter Omasta, Shuhan Song, Benson Truong, &amp; AJ Zekanoski</t>
  </si>
  <si>
    <t xml:space="preserve">urn:uuid:410852e2-4edc-4f4d-bff5-a884cbe948de</t>
  </si>
  <si>
    <t xml:space="preserve">Camera IDs (35 cameras) – no station coordinates in tabular files; kriged abundance rasters only</t>
  </si>
  <si>
    <t xml:space="preserve">Sus scrofa only (camera-trap tagging, 2013–2015)</t>
  </si>
  <si>
    <t xml:space="preserve">9,726 image rows → a few hundred camera-day events</t>
  </si>
  <si>
    <t xml:space="preserve">Study area inside parcel</t>
  </si>
  <si>
    <t xml:space="preserve">Camera station coordinates missing; image-level rows should be collapsed; invasive species (low sensitivity); CC0</t>
  </si>
  <si>
    <t xml:space="preserve">Dangermond Preserve Reptile and Amphibian Species List 2019</t>
  </si>
  <si>
    <t xml:space="preserve">WRA INC</t>
  </si>
  <si>
    <t xml:space="preserve">doi:10.5063/F1DR2SX4</t>
  </si>
  <si>
    <t xml:space="preserve">C – Checklist only (no per-record location)</t>
  </si>
  <si>
    <t xml:space="preserve">Taxa list</t>
  </si>
  <si>
    <t xml:space="preserve">Reptile &amp; amphibian list with conservation status</t>
  </si>
  <si>
    <t xml:space="preserve">Checklist</t>
  </si>
  <si>
    <t xml:space="preserve">Checklist-type; CC-BY 4.0</t>
  </si>
  <si>
    <t xml:space="preserve">Dangermond Preserve Mammal List 2020</t>
  </si>
  <si>
    <t xml:space="preserve">doi:10.5063/F1JD4V7J</t>
  </si>
  <si>
    <t xml:space="preserve">Mammal list with conservation status</t>
  </si>
  <si>
    <t xml:space="preserve">Checklist-type; CC0</t>
  </si>
  <si>
    <t xml:space="preserve">urn:uuid:7bc5328b-0015-42a4-abb5-76f476f0e1c3</t>
  </si>
  <si>
    <t xml:space="preserve">Mammal list (older version)</t>
  </si>
  <si>
    <t xml:space="preserve">OBSOLETE – superseded by doi:10.5063/F1JD4V7J</t>
  </si>
  <si>
    <t xml:space="preserve">urn:uuid:9c62c0c0-6a48-4c9d-8274-a422e723b3e7</t>
  </si>
  <si>
    <t xml:space="preserve">Reptile &amp; amphibian list (older version)</t>
  </si>
  <si>
    <t xml:space="preserve">OBSOLETE – superseded by doi:10.5063/F1DR2SX4</t>
  </si>
  <si>
    <t xml:space="preserve">Dangermond Preserve Plant List</t>
  </si>
  <si>
    <t xml:space="preserve">The Nature Conservancy, &amp; WRA INC</t>
  </si>
  <si>
    <t xml:space="preserve">urn:uuid:aeaf8836-ba09-4fb8-8b6a-d6e69887918c</t>
  </si>
  <si>
    <t xml:space="preserve">None per record (preserve-level)</t>
  </si>
  <si>
    <t xml:space="preserve">587 plant taxa with voucher flag (270 vouchered), provenance, CRPR rank; 2019 + 2025 files</t>
  </si>
  <si>
    <t xml:space="preserve">Checklist (587 taxa)</t>
  </si>
  <si>
    <t xml:space="preserve">Could publish as a GBIF checklist dataset, not occurrences; vouchered taxa are likely already in GBIF via herbaria (SBBG, UCSB, OBI…); CC0</t>
  </si>
  <si>
    <t xml:space="preserve">Dangermond Preserve Bird List - 2019</t>
  </si>
  <si>
    <t xml:space="preserve">WRA Inc</t>
  </si>
  <si>
    <t xml:space="preserve">doi:10.5063/F1P55KXD</t>
  </si>
  <si>
    <t xml:space="preserve">Bird list with conservation status and source</t>
  </si>
  <si>
    <t xml:space="preserve">urn:uuid:a0521989-0ba5-493c-88d4-2df8ef6e88a6</t>
  </si>
  <si>
    <t xml:space="preserve">Bird list 2019 (older version)</t>
  </si>
  <si>
    <t xml:space="preserve">OBSOLETE – superseded by doi:10.5063/F1P55KXD</t>
  </si>
  <si>
    <t xml:space="preserve">Dangermond Preserve Plant List 2019</t>
  </si>
  <si>
    <t xml:space="preserve">urn:uuid:38ded1c9-56cd-417b-8df2-4d46b4907488</t>
  </si>
  <si>
    <t xml:space="preserve">Plant list 2019 (older version)</t>
  </si>
  <si>
    <t xml:space="preserve">doi:10.5063/F1SX6BNT</t>
  </si>
  <si>
    <t xml:space="preserve">OBSOLETE – superseded by doi:10.5063/F1SX6BNT; duplicate of the plant list above (different package)</t>
  </si>
  <si>
    <t xml:space="preserve">Multimodal bat sensing at Dangermond Preserve, September 1-11, 2026</t>
  </si>
  <si>
    <t xml:space="preserve">urn:uuid:b908e184-c5dd-435e-aa82-58ee38a19063</t>
  </si>
  <si>
    <t xml:space="preserve">D – Organism detections, no taxon ID</t>
  </si>
  <si>
    <t xml:space="preserve">Detections, no taxa (in files seen)</t>
  </si>
  <si>
    <t xml:space="preserve">Radar track lat/lon</t>
  </si>
  <si>
    <t xml:space="preserve">Radar tracks only among data files; abstract describes acoustic species ID but no acoustic table in package</t>
  </si>
  <si>
    <t xml:space="preserve">If acoustic species IDs are added later, becomes Tier A (like the 2024 package)</t>
  </si>
  <si>
    <t xml:space="preserve">Application of Radar Technologies for Classifying Bird Flight Behavior at Dangermond Preserve, January 5-10, 2026</t>
  </si>
  <si>
    <t xml:space="preserve">urn:uuid:f5c52336-850f-436d-b917-8f33716b7422</t>
  </si>
  <si>
    <t xml:space="preserve">Detections, class-level only</t>
  </si>
  <si>
    <t xml:space="preserve">Animal/Person/Vehicle/Aircraft classifier likelihoods; no species</t>
  </si>
  <si>
    <t xml:space="preserve">Metadata bbox (34.3–34.5, -120.3 to -120.2) looks wrong – falls east of the preserve</t>
  </si>
  <si>
    <t xml:space="preserve">Not GBIF-suitable; flag bbox error to authors</t>
  </si>
  <si>
    <t xml:space="preserve">Multispectral image of iceplant at the Dangermond Preserve</t>
  </si>
  <si>
    <t xml:space="preserve">Madison Heffentrager</t>
  </si>
  <si>
    <t xml:space="preserve">doi:10.5063/F1Z60MJT</t>
  </si>
  <si>
    <t xml:space="preserve">Target taxon, no occurrences</t>
  </si>
  <si>
    <t xml:space="preserve">Raster</t>
  </si>
  <si>
    <t xml:space="preserve">Multispectral image targeting iceplant (Carpobrotus)</t>
  </si>
  <si>
    <t xml:space="preserve">Raster/remote sensing – not occurrence data unless a classified presence map is derived</t>
  </si>
  <si>
    <t xml:space="preserve">Jack and Laura Dangermond Nature Preserve multiscale bird and bat monitoring data (radar and thermal imagery), July 21-25, 2025</t>
  </si>
  <si>
    <t xml:space="preserve">urn:uuid:5871cd16-1893-427d-b5e6-dbadfb743f8f</t>
  </si>
  <si>
    <t xml:space="preserve">Detections, no taxa</t>
  </si>
  <si>
    <t xml:space="preserve">Track lat/lon, altitude, datetime</t>
  </si>
  <si>
    <t xml:space="preserve">Radar + stereo thermal tracks; wingspan/body length; no species</t>
  </si>
  <si>
    <t xml:space="preserve">Not GBIF occurrences without taxonomic ID; could only be linked as related data</t>
  </si>
  <si>
    <t xml:space="preserve">Managing the Ecological Impacts of Environmental Education on the Dangermond Preserve, The Bren School, University of California Santa Barbara, 2019-2020</t>
  </si>
  <si>
    <t xml:space="preserve">Tess Hooper, Daphne Virlar-Knight, Priscilla Hare, Robert Heim, &amp; Jessica Gomez</t>
  </si>
  <si>
    <t xml:space="preserve">doi:10.5063/F12F7KWW</t>
  </si>
  <si>
    <t xml:space="preserve">Derived models</t>
  </si>
  <si>
    <t xml:space="preserve">Rasters/zip</t>
  </si>
  <si>
    <t xml:space="preserve">Habitat suitability &amp; impact models (amphibians, mammals, raptors, invasives); scripts</t>
  </si>
  <si>
    <t xml:space="preserve">Metadata bbox is a placeholder (34, -119)</t>
  </si>
  <si>
    <t xml:space="preserve">Input occurrence data (if any) buried in large zips (MCA.zip 114 MB, WildlifeHighlySuitableHabitat.zip 200 MB) – not inspected; bbox placeholder</t>
  </si>
  <si>
    <t xml:space="preserve">Dangermond Preserve Cojo Terrace UAS RGB Orthomosaic July 2026</t>
  </si>
  <si>
    <t xml:space="preserve">urn:uuid:c23ac2f0-e18c-4396-81e7-43b1e1e69c7b</t>
  </si>
  <si>
    <t xml:space="preserve">E – No organism data</t>
  </si>
  <si>
    <t xml:space="preserve">No</t>
  </si>
  <si>
    <t xml:space="preserve">UAS RGB orthomosaic</t>
  </si>
  <si>
    <t xml:space="preserve">—</t>
  </si>
  <si>
    <t xml:space="preserve">Dangermond Preserve Terrestrial Lidar Scans: May and July 2025</t>
  </si>
  <si>
    <t xml:space="preserve">Leticia Lee</t>
  </si>
  <si>
    <t xml:space="preserve">doi:10.5063/F1833QHH</t>
  </si>
  <si>
    <t xml:space="preserve">Terrestrial lidar scans</t>
  </si>
  <si>
    <t xml:space="preserve">Reports may cite species records, but not structured data</t>
  </si>
  <si>
    <t xml:space="preserve">Dangermond Preserve Cojo Terrace UAS RGB Orthomosaic February 2025</t>
  </si>
  <si>
    <t xml:space="preserve">Madison Heffentrager, &amp; Ian Walker</t>
  </si>
  <si>
    <t xml:space="preserve">urn:uuid:940e95b7-282b-4da8-8c18-6daa942dbf7c</t>
  </si>
  <si>
    <t xml:space="preserve">Dangermond Preserve Cojo Terrace UAS RGB Orthomosaic November 2023</t>
  </si>
  <si>
    <t xml:space="preserve">urn:uuid:a6e9e7d8-539e-4f2b-a1eb-81498d12ff65</t>
  </si>
  <si>
    <t xml:space="preserve">Dangermond Preserve North Beach &amp; Dune Restoration Site UAS RGB Orthomosaic August 2023</t>
  </si>
  <si>
    <t xml:space="preserve">doi:10.5063/F16M359R</t>
  </si>
  <si>
    <t xml:space="preserve">Dangermond Preserve Cojo Terrace UAS RGB Orthomosaic July 2024</t>
  </si>
  <si>
    <t xml:space="preserve">doi:10.5063/F1BC3X13</t>
  </si>
  <si>
    <t xml:space="preserve">Dangermond Preserve North Beach &amp; Dune Restoration Site UAS RGB Orthomosaic April 2024</t>
  </si>
  <si>
    <t xml:space="preserve">doi:10.5063/F1G44NSV</t>
  </si>
  <si>
    <t xml:space="preserve">doi:10.5063/F1KW5DJQ</t>
  </si>
  <si>
    <t xml:space="preserve">OBSOLETE – superseded by urn:uuid:a6e9e7d8-… (Nov 2023 orthomosaic listed twice)</t>
  </si>
  <si>
    <t xml:space="preserve">Dangermond Preserve Cojo Terrace UAS RGB Orthomosaic September 2023</t>
  </si>
  <si>
    <t xml:space="preserve">doi:10.5063/F1QN658F</t>
  </si>
  <si>
    <t xml:space="preserve">Dangermond Preserve Cojo Terrace July 2022 RGB UAS Orthomosaic</t>
  </si>
  <si>
    <t xml:space="preserve">doi:10.5063/F1CC0Z5G</t>
  </si>
  <si>
    <t xml:space="preserve">Stream and Atmospheric Temperature from Escondido, Gasper, and Jalama Creek, Jack and Laura Dangermond Preserve, California (2021-2024)</t>
  </si>
  <si>
    <t xml:space="preserve">Annette Hilton</t>
  </si>
  <si>
    <t xml:space="preserve">doi:10.5063/F1FF3QTJ</t>
  </si>
  <si>
    <t xml:space="preserve">Stream &amp; air temperature loggers</t>
  </si>
  <si>
    <t xml:space="preserve">Hydrologic Monitoring at the Jack and Laura Dangermond Preserve</t>
  </si>
  <si>
    <t xml:space="preserve">Jasechko Lab</t>
  </si>
  <si>
    <t xml:space="preserve">https://www.hydroshare.org/resource/800540d493814c9fa4970231a4e8e4cc, version: sha256:e0fc893089b0a14efc051446b07a71366bf96bce0d8e470fdd133f10a2f1f87e</t>
  </si>
  <si>
    <t xml:space="preserve">Hydroshare</t>
  </si>
  <si>
    <t xml:space="preserve">Hydrologic monitoring (HydroShare, not KNB)</t>
  </si>
  <si>
    <t xml:space="preserve">Not on KNB – HydroShare</t>
  </si>
  <si>
    <t xml:space="preserve">Historical Aerial Imagery of the Jack and Laura Dangermond Preserve (1944, 1974, 1997)</t>
  </si>
  <si>
    <t xml:space="preserve">urn:uuid:6aa9b155-d829-436f-b9af-32f39a262803</t>
  </si>
  <si>
    <t xml:space="preserve">Historical aerial imagery</t>
  </si>
  <si>
    <t xml:space="preserve">Digital Surface Models of the Headland Bypass Dunes at the Jack and Laura Dangermond Preserve</t>
  </si>
  <si>
    <t xml:space="preserve">urn:uuid:0693d959-f71c-4080-830c-f2d878b9d941</t>
  </si>
  <si>
    <t xml:space="preserve">Digital surface models (dunes)</t>
  </si>
  <si>
    <t xml:space="preserve">Dangermond marine debris data collection, Percos, North Beach and Little Coho, 9/26/23, 9/27/23, and 10/27/23. Scale is #pieces of debris per 5 meter wide transects in 100 meter wide sites</t>
  </si>
  <si>
    <t xml:space="preserve">Elizabeth Braun, Eleri Griffiths, Heather Luedke, Anne Youngdahl, &amp; Tatiana Bok</t>
  </si>
  <si>
    <t xml:space="preserve">urn:uuid:52f323f3-a391-4a71-aff7-32bee0cbd9d8</t>
  </si>
  <si>
    <t xml:space="preserve">Marine debris (MDMAP)</t>
  </si>
  <si>
    <t xml:space="preserve">Eddy covariance flux data from Ramajal Field at the Dangermond Preserve, CA, USA, 2021-2022</t>
  </si>
  <si>
    <t xml:space="preserve">Bryn Morgan</t>
  </si>
  <si>
    <t xml:space="preserve">doi:10.5063/F1QN6570</t>
  </si>
  <si>
    <t xml:space="preserve">Eddy covariance flux</t>
  </si>
  <si>
    <t xml:space="preserve">UAV VSWIR and thermal infrared imagery for a grassland eddy covariance site at the Dangermond Preserve, CA, USA, 2021–2022</t>
  </si>
  <si>
    <t xml:space="preserve">doi:10.5063/F1FB51DM</t>
  </si>
  <si>
    <t xml:space="preserve">UAV VSWIR/thermal imagery</t>
  </si>
  <si>
    <t xml:space="preserve">Lidar Survey of Dangermond Preserve, CA</t>
  </si>
  <si>
    <t xml:space="preserve">OTLAS.042022.32611.1, version: sha256:47dabf8276eb09a148147df0e96907a6cf03ed1222a6bdd934d3eaa9cc6eee52</t>
  </si>
  <si>
    <t xml:space="preserve">OpenTopography</t>
  </si>
  <si>
    <t xml:space="preserve">Point cloud / DEM</t>
  </si>
  <si>
    <t xml:space="preserve">Airborne lidar (OpenTopography, not KNB)</t>
  </si>
  <si>
    <t xml:space="preserve">Covers parcel</t>
  </si>
  <si>
    <t xml:space="preserve">Not on KNB – OpenTopography; three version rows of the same collection</t>
  </si>
  <si>
    <t xml:space="preserve">OTLAS.042022.32611.1, version: sha256:9c06d2f00e3c2882850be0856d0d41376f7ab5421df39b1686bddf31079d0460</t>
  </si>
  <si>
    <t xml:space="preserve">OTSDEM.042022.32611.1, version: sha256:db4dc3602cfb82fb143f2ee11f239f92008ce64b579d5bad971b038fa492b384</t>
  </si>
  <si>
    <t xml:space="preserve">Managing the Ecological Impacts of Environmental Education on the Dangermond Preserve (Final Report Only), The Bren School, University of California Santa Barbara, 2019-2020</t>
  </si>
  <si>
    <t xml:space="preserve">Tess Hooper</t>
  </si>
  <si>
    <t xml:space="preserve">urn:uuid:58b799fe-f8b9-484f-aff4-b6191170e2cd</t>
  </si>
  <si>
    <t xml:space="preserve">Bren report only (Env. Ed.)</t>
  </si>
  <si>
    <t xml:space="preserve">Integrating Historical Change and Future Projections to Guide Conservation (Final Report Only), The Bren School, University of California Santa Barbara, 2018-2019</t>
  </si>
  <si>
    <t xml:space="preserve">Brad Anderson, Meghan Bowen, Lucy Genua, Genelle Ives, Kym Howo, &amp; Tess Hooper</t>
  </si>
  <si>
    <t xml:space="preserve">urn:uuid:eaf62c37-d49e-4f66-bc0d-e2d1d77ce693</t>
  </si>
  <si>
    <t xml:space="preserve">Bren report only (Historical Change)</t>
  </si>
  <si>
    <t xml:space="preserve">Jack and Laura Dangermond Preserve Integrated Resources Management Plan, 2019</t>
  </si>
  <si>
    <t xml:space="preserve">Scott Butterfield, Mark Reynolds, M.G. Gleason, Matt Merrifield, Brian Cohen, Walter N. Heady, Dick Cameron, T. Rick, E. Inlander, Moses Katkowski, Laura Riege, John Knapp, Sasha Gennet, G. Gorga, Karin Lin, Kelly Easterday, Bill Leahy, Michael Bell, &amp; Tess Hooper</t>
  </si>
  <si>
    <t xml:space="preserve">urn:uuid:ca4319de-d0d3-467c-a4e7-a5f17e00f3b3</t>
  </si>
  <si>
    <t xml:space="preserve">Integrated Resources Management Plan (report)</t>
  </si>
  <si>
    <t xml:space="preserve">Jack and Laura Dangermond Preserve Rangeland Management Plan (Report Only), 2020</t>
  </si>
  <si>
    <t xml:space="preserve">Scott Butterfield, Moses Katkowski, Justin Cota, Dawit Zeleke, Kelly Easterday, Laura Riege, Sasha Gennet, Karin Lin, Mark Reynolds, Bill Leahy, Michael Bell, &amp; Tess Hooper</t>
  </si>
  <si>
    <t xml:space="preserve">urn:uuid:1e67658f-213c-479a-9e63-ebd965d3c768</t>
  </si>
  <si>
    <t xml:space="preserve">Rangeland Management Plan (report)</t>
  </si>
  <si>
    <t xml:space="preserve">Wild Pig Management at the Jack and Laura Dangermond Preserve (Report Only), The Bren School, University of California, Santa Barbara, 2020-2021</t>
  </si>
  <si>
    <t xml:space="preserve">Peter Omasta, Shuhan Song Song, Benson Truong, &amp; AJ Zekanoski</t>
  </si>
  <si>
    <t xml:space="preserve">urn:uuid:15a43ccc-3cfd-4aff-bd7b-3a489cec3c8f</t>
  </si>
  <si>
    <t xml:space="preserve">Bren report only (Wild Pig)</t>
  </si>
  <si>
    <t xml:space="preserve">Dangermond Preserve coastal points of interest (POI)</t>
  </si>
  <si>
    <t xml:space="preserve">Matt Merrifield</t>
  </si>
  <si>
    <t xml:space="preserve">urn:uuid:508acfd9-9f52-495d-844d-ce5321e36617</t>
  </si>
  <si>
    <t xml:space="preserve">Coastal points of interest (test shapefile)</t>
  </si>
  <si>
    <t xml:space="preserve">Publisher</t>
  </si>
  <si>
    <t xml:space="preserve">Country</t>
  </si>
  <si>
    <t xml:space="preserve">Records in parcel</t>
  </si>
  <si>
    <t xml:space="preserve">Records in parcel + 500 m</t>
  </si>
  <si>
    <t xml:space="preserve">Datasets (parcel)</t>
  </si>
  <si>
    <t xml:space="preserve">Preserved specimen</t>
  </si>
  <si>
    <t xml:space="preserve">Human observation</t>
  </si>
  <si>
    <t xml:space="preserve">Material sample</t>
  </si>
  <si>
    <t xml:space="preserve">Fossil</t>
  </si>
  <si>
    <t xml:space="preserve">Other</t>
  </si>
  <si>
    <t xml:space="preserve">Earliest year</t>
  </si>
  <si>
    <t xml:space="preserve">Latest year</t>
  </si>
  <si>
    <t xml:space="preserve">publishingOrg key</t>
  </si>
  <si>
    <t xml:space="preserve">The International Barcode of Life Consortium</t>
  </si>
  <si>
    <t xml:space="preserve">ZZ</t>
  </si>
  <si>
    <t xml:space="preserve">b3bf3a83-1f68-4541-a03f-330d30d567f5</t>
  </si>
  <si>
    <t xml:space="preserve">Cornell Lab of Ornithology</t>
  </si>
  <si>
    <t xml:space="preserve">US</t>
  </si>
  <si>
    <t xml:space="preserve">e2e717bf-551a-4917-bdc9-4fa0f342c530</t>
  </si>
  <si>
    <t xml:space="preserve">iNaturalist.org</t>
  </si>
  <si>
    <t xml:space="preserve">28eb1a3f-1c15-4a95-931a-4af90ecb574d</t>
  </si>
  <si>
    <t xml:space="preserve">California Academy of Sciences</t>
  </si>
  <si>
    <t xml:space="preserve">66522820-055c-11d8-b84e-b8a03c50a862</t>
  </si>
  <si>
    <t xml:space="preserve">Santa Barbara Botanic Garden</t>
  </si>
  <si>
    <t xml:space="preserve">48558fd5-e402-4362-ba91-7c742c96a26c</t>
  </si>
  <si>
    <t xml:space="preserve">California Polytechnic State University, San Luis Obispo</t>
  </si>
  <si>
    <t xml:space="preserve">d16f32bb-204f-4c07-95eb-6673e90225e9</t>
  </si>
  <si>
    <t xml:space="preserve">Santa Barbara Museum of Natural History</t>
  </si>
  <si>
    <t xml:space="preserve">78678140-1815-11da-9544-b8a03c50a862</t>
  </si>
  <si>
    <t xml:space="preserve">Natural History Museum of Los Angeles County</t>
  </si>
  <si>
    <t xml:space="preserve">493fe050-055d-11d8-b84f-b8a03c50a862</t>
  </si>
  <si>
    <t xml:space="preserve">Cheadle Center for Biodiversity and Ecological Restoration</t>
  </si>
  <si>
    <t xml:space="preserve">cae7b6c7-669a-4261-9a34-6e8cdc16a125</t>
  </si>
  <si>
    <t xml:space="preserve">Rancho Santa Ana Botanic Garden</t>
  </si>
  <si>
    <t xml:space="preserve">55807027-6d78-46bd-b2cb-301295ee35aa</t>
  </si>
  <si>
    <t xml:space="preserve">San Jose State University</t>
  </si>
  <si>
    <t xml:space="preserve">75bf5fec-40fa-43ae-919f-c43bd7ce25c9</t>
  </si>
  <si>
    <t xml:space="preserve">Consortium of Pacific Northwest Herbaria</t>
  </si>
  <si>
    <t xml:space="preserve">6567af74-d231-4588-a123-5d0b7a095fda</t>
  </si>
  <si>
    <t xml:space="preserve">University of California Riverside</t>
  </si>
  <si>
    <t xml:space="preserve">53e59855-7653-4d3e-87cc-162021713823</t>
  </si>
  <si>
    <t xml:space="preserve">University of California, Davis</t>
  </si>
  <si>
    <t xml:space="preserve">f0b6a090-a4c6-11d8-9534-b8a03c50a862</t>
  </si>
  <si>
    <t xml:space="preserve">Kenneth S. Norris Center for Natural History</t>
  </si>
  <si>
    <t xml:space="preserve">f753171f-d38a-44fd-af85-40818746b336</t>
  </si>
  <si>
    <t xml:space="preserve">Scripps Institution of Oceanography</t>
  </si>
  <si>
    <t xml:space="preserve">b1b3786f-e9b0-4da6-8472-a21a2d7fe48c</t>
  </si>
  <si>
    <t xml:space="preserve">Hopkins Marine Station</t>
  </si>
  <si>
    <t xml:space="preserve">27f165a4-51ed-41f9-b328-d97c807f0cb5</t>
  </si>
  <si>
    <t xml:space="preserve">Centro Internacional de Agricultura Tropical - CIAT</t>
  </si>
  <si>
    <t xml:space="preserve">CO</t>
  </si>
  <si>
    <t xml:space="preserve">fee3882f-5360-4f01-a1ca-767c48fa629c</t>
  </si>
  <si>
    <t xml:space="preserve">Delaware Museum of Nature &amp; Science</t>
  </si>
  <si>
    <t xml:space="preserve">a42867f0-813a-11dc-82e0-b8a03c50a862</t>
  </si>
  <si>
    <t xml:space="preserve">University of North Carolina at Chapel Hill Herbarium (NCU)</t>
  </si>
  <si>
    <t xml:space="preserve">0eabc674-8106-401e-9613-5f10164b562d</t>
  </si>
  <si>
    <t xml:space="preserve">University of California, Irvine</t>
  </si>
  <si>
    <t xml:space="preserve">56c3269a-8eb1-42aa-9091-d22acc0d5795</t>
  </si>
  <si>
    <t xml:space="preserve">Canadian Museum of Nature</t>
  </si>
  <si>
    <t xml:space="preserve">CA</t>
  </si>
  <si>
    <t xml:space="preserve">a41250f0-7c3e-11d8-a19c-b8a03c50a862</t>
  </si>
  <si>
    <t xml:space="preserve">San Diego State University Herbarium (SDSU)</t>
  </si>
  <si>
    <t xml:space="preserve">2aad1479-09dc-492b-9a4c-a959c42f90ea</t>
  </si>
  <si>
    <t xml:space="preserve">Indiana University Herbarium</t>
  </si>
  <si>
    <t xml:space="preserve">26a503f6-b337-424b-8d7a-b3ab11d2597f</t>
  </si>
  <si>
    <t xml:space="preserve">Field Museum</t>
  </si>
  <si>
    <t xml:space="preserve">7b8aff00-a9f8-11d8-944b-b8a03c50a862</t>
  </si>
  <si>
    <t xml:space="preserve">The Genomic Observatories Metadatabase (GeOMe)</t>
  </si>
  <si>
    <t xml:space="preserve">9a23b798-ee7e-4593-9348-7016fdca9960</t>
  </si>
  <si>
    <t xml:space="preserve">Missouri Botanical Garden</t>
  </si>
  <si>
    <t xml:space="preserve">90fd6680-349f-11d8-aa2d-b8a03c50a862</t>
  </si>
  <si>
    <t xml:space="preserve">Berkeley Natural History Museums</t>
  </si>
  <si>
    <t xml:space="preserve">0dc9c7a0-b5c6-11d9-a0b8-b8a03c50a862</t>
  </si>
  <si>
    <t xml:space="preserve">Academy of Natural Sciences</t>
  </si>
  <si>
    <t xml:space="preserve">f9b67ad0-9c9b-11d9-b9db-b8a03c50a862</t>
  </si>
  <si>
    <t xml:space="preserve">University of Wisconsin - Madison</t>
  </si>
  <si>
    <t xml:space="preserve">d6bd7c74-ff29-48f8-b5f5-e9dc1afff3db</t>
  </si>
  <si>
    <t xml:space="preserve">University of Michigan Museum of Zoology</t>
  </si>
  <si>
    <t xml:space="preserve">6ea87510-0561-11d8-b851-b8a03c50a862</t>
  </si>
  <si>
    <t xml:space="preserve">Florida Museum of Natural History</t>
  </si>
  <si>
    <t xml:space="preserve">8483a1f0-1032-11db-ae00-b8a03c50a862</t>
  </si>
  <si>
    <t xml:space="preserve">Illinois Natural History Survey</t>
  </si>
  <si>
    <t xml:space="preserve">fd0038d0-3e7b-11d9-8439-b8a03c50a862</t>
  </si>
  <si>
    <t xml:space="preserve">University of Texas at El Paso Biodiversity Collections</t>
  </si>
  <si>
    <t xml:space="preserve">52c8f620-1816-11da-9544-b8a03c50a862</t>
  </si>
  <si>
    <t xml:space="preserve">California Department of Food and Agriculture (CDA)</t>
  </si>
  <si>
    <t xml:space="preserve">a8a2b5b7-4683-4566-8e95-3fb3adaeff39</t>
  </si>
  <si>
    <t xml:space="preserve">Museum of Comparative Zoology, Harvard University</t>
  </si>
  <si>
    <t xml:space="preserve">b4640710-8e03-11d8-b956-b8a03c50a862</t>
  </si>
  <si>
    <t xml:space="preserve">San Diego Natural History Museum</t>
  </si>
  <si>
    <t xml:space="preserve">8a471700-4ce8-11db-b80e-b8a03c50a862</t>
  </si>
  <si>
    <t xml:space="preserve">University of Michigan Herbarium</t>
  </si>
  <si>
    <t xml:space="preserve">174c6da2-e002-42fe-9f56-2f9d670240f4</t>
  </si>
  <si>
    <t xml:space="preserve">European Nucleotide Archive (EMBL-EBI)</t>
  </si>
  <si>
    <t xml:space="preserve">GB</t>
  </si>
  <si>
    <t xml:space="preserve">ada9d123-ddb4-467d-8891-806ea8d94230</t>
  </si>
  <si>
    <t xml:space="preserve">Colorado State University, C.P. Gillette Museum of Arthropod Diversity</t>
  </si>
  <si>
    <t xml:space="preserve">0d923068-1cec-44de-8b78-33a51fb0cacd</t>
  </si>
  <si>
    <t xml:space="preserve">Yale University Peabody Museum</t>
  </si>
  <si>
    <t xml:space="preserve">2e167bb0-4441-11db-9ba2-b8a03c50a862</t>
  </si>
  <si>
    <t xml:space="preserve">Chico State Herbarium</t>
  </si>
  <si>
    <t xml:space="preserve">c6e100e2-7568-4f96-aea1-ff0ea0430212</t>
  </si>
  <si>
    <t xml:space="preserve">University of Alaska Museum of the North</t>
  </si>
  <si>
    <t xml:space="preserve">d9699a79-4736-45c2-925c-f4033ac67d52</t>
  </si>
  <si>
    <t xml:space="preserve">California State University, Fullerton</t>
  </si>
  <si>
    <t xml:space="preserve">0bc2981f-f6c7-4ee7-8e78-f3cf3c506cc9</t>
  </si>
  <si>
    <t xml:space="preserve">Centre of Marine Sciences</t>
  </si>
  <si>
    <t xml:space="preserve">PT</t>
  </si>
  <si>
    <t xml:space="preserve">54a7048f-6d1f-468e-bd38-a585e05ca24d</t>
  </si>
  <si>
    <t xml:space="preserve">Questagame</t>
  </si>
  <si>
    <t xml:space="preserve">AU</t>
  </si>
  <si>
    <t xml:space="preserve">17726825-3aa2-4fbc-b0e3-303d3fc5702f</t>
  </si>
  <si>
    <t xml:space="preserve">The Lepidopterists' Society Season Summary</t>
  </si>
  <si>
    <t xml:space="preserve">4cd08c7c-fd56-48d0-ab05-aac38aa4457e</t>
  </si>
  <si>
    <t xml:space="preserve">Natural Science Research Laboratory, Museum of Texas Tech University (TTU)</t>
  </si>
  <si>
    <t xml:space="preserve">acac73b0-055d-11d8-b84f-b8a03c50a862</t>
  </si>
  <si>
    <t xml:space="preserve">Pl@ntNet</t>
  </si>
  <si>
    <t xml:space="preserve">FR</t>
  </si>
  <si>
    <t xml:space="preserve">da86174a-a605-43a4-a5e8-53d484152cd3</t>
  </si>
  <si>
    <t xml:space="preserve">OBIS-SEAMAP</t>
  </si>
  <si>
    <t xml:space="preserve">67b2263f-6990-4d9d-b32b-20aa72ef4fbc</t>
  </si>
  <si>
    <t xml:space="preserve">The New York Botanical Garden</t>
  </si>
  <si>
    <t xml:space="preserve">ae447c50-b8a8-11d8-92a4-b8a03c50a862</t>
  </si>
  <si>
    <t xml:space="preserve">Arizona State University Biocollections</t>
  </si>
  <si>
    <t xml:space="preserve">814cdfb5-d4f8-4453-815f-ea5df98e76bf</t>
  </si>
  <si>
    <t xml:space="preserve">Biological Collections, California State University Northridge</t>
  </si>
  <si>
    <t xml:space="preserve">2ebbf9e5-146f-47cf-8c1b-9d117d2860e4</t>
  </si>
  <si>
    <t xml:space="preserve">UCLA Herbarium</t>
  </si>
  <si>
    <t xml:space="preserve">8d94469a-1582-4098-bf02-aa11d30608a3</t>
  </si>
  <si>
    <t xml:space="preserve">Museum of Vertebrate Zoology</t>
  </si>
  <si>
    <t xml:space="preserve">8edbbde0-055e-11d8-b850-b8a03c50a862</t>
  </si>
  <si>
    <t xml:space="preserve">Comisión nacional para el conocimiento y uso de la biodiversidad</t>
  </si>
  <si>
    <t xml:space="preserve">MX</t>
  </si>
  <si>
    <t xml:space="preserve">ff90b050-c256-11db-b71b-b8a03c50a862</t>
  </si>
  <si>
    <t xml:space="preserve">Brigham Young University Vascular Plant Herbarium</t>
  </si>
  <si>
    <t xml:space="preserve">10ca3fed-0c61-4112-abe1-b5b6f53d5bb0</t>
  </si>
  <si>
    <t xml:space="preserve">USDA-ARS Pollinating Insect-Biology, Management, Systematics Research</t>
  </si>
  <si>
    <t xml:space="preserve">1e26a630-7203-11dc-a0d8-b8a03c50a862</t>
  </si>
  <si>
    <t xml:space="preserve">MNHN - Museum national d'Histoire naturelle</t>
  </si>
  <si>
    <t xml:space="preserve">2cd829bb-b713-433d-99cf-64bef11e5b3e</t>
  </si>
  <si>
    <t xml:space="preserve">University of Minnesota Bell Museum</t>
  </si>
  <si>
    <t xml:space="preserve">927f1e70-cf74-11d8-bf68-b8a03c50a862</t>
  </si>
  <si>
    <t xml:space="preserve">Mushroom Observer, Inc.</t>
  </si>
  <si>
    <t xml:space="preserve">b873c239-a68e-4133-ae0b-0c534101f7b5</t>
  </si>
  <si>
    <t xml:space="preserve">Desert Botanical Garden Herbarium</t>
  </si>
  <si>
    <t xml:space="preserve">e1f6195c-b21b-4601-809e-bdf0488ee9a4</t>
  </si>
  <si>
    <t xml:space="preserve">Royal Ontario Museum</t>
  </si>
  <si>
    <t xml:space="preserve">ff418020-1d67-11d9-8435-b8a03c50a862</t>
  </si>
  <si>
    <t xml:space="preserve">NOAA Integrated Ocean Observing System</t>
  </si>
  <si>
    <t xml:space="preserve">1d38bb22-cbea-4845-8b0c-f62551076080</t>
  </si>
  <si>
    <t xml:space="preserve">Museum of Biological Diversity, The Ohio State University</t>
  </si>
  <si>
    <t xml:space="preserve">5ffa575c-fcd4-4583-9611-545f67b04316</t>
  </si>
  <si>
    <t xml:space="preserve">National Museum of Natural History, Smithsonian Institution</t>
  </si>
  <si>
    <t xml:space="preserve">bc092ff0-02e4-11dc-991f-b8a03c50a862</t>
  </si>
  <si>
    <t xml:space="preserve">California State University, Long Beach</t>
  </si>
  <si>
    <t xml:space="preserve">a26fb77a-67a4-4a15-b2c3-0c7b87ddb8e6</t>
  </si>
  <si>
    <t xml:space="preserve">Paleobiology Database</t>
  </si>
  <si>
    <t xml:space="preserve">b711353c-44d7-4e8b-90c5-16fea0d247e0</t>
  </si>
  <si>
    <t xml:space="preserve">University of New Hampshire Nature History Collections</t>
  </si>
  <si>
    <t xml:space="preserve">04070a2c-4604-4264-9c72-31d3f29a41f2</t>
  </si>
  <si>
    <t xml:space="preserve">CSU Los Angeles Herbarium</t>
  </si>
  <si>
    <t xml:space="preserve">f614387b-c7aa-4a3f-95bf-acb4d0b83e97</t>
  </si>
  <si>
    <t xml:space="preserve">Santa Monica Mountains National Recreation Area: National Park Service</t>
  </si>
  <si>
    <t xml:space="preserve">224a7717-2bde-4bc7-afd9-b60e4d5ed109</t>
  </si>
  <si>
    <t xml:space="preserve">Natural History Museum Rotterdam</t>
  </si>
  <si>
    <t xml:space="preserve">NL</t>
  </si>
  <si>
    <t xml:space="preserve">3ead5cf3-2840-482e-bbd9-76380825be63</t>
  </si>
  <si>
    <t xml:space="preserve">Western Foundation of Vertebrate Zoology</t>
  </si>
  <si>
    <t xml:space="preserve">80960f60-ad5e-11da-9c37-b8a03c50a862</t>
  </si>
  <si>
    <t xml:space="preserve">Royal Belgian Institute of Natural Sciences</t>
  </si>
  <si>
    <t xml:space="preserve">BE</t>
  </si>
  <si>
    <t xml:space="preserve">e88c96a3-5884-4e51-a580-e417ca4c9eed</t>
  </si>
  <si>
    <t xml:space="preserve">University of Kansas Biodiversity Institute</t>
  </si>
  <si>
    <t xml:space="preserve">b554c320-0560-11d8-b851-b8a03c50a862</t>
  </si>
  <si>
    <t xml:space="preserve">Australian Museum</t>
  </si>
  <si>
    <t xml:space="preserve">770c30d2-c2a8-4bb2-8056-6167297cddae</t>
  </si>
  <si>
    <t xml:space="preserve">Auckland War Memorial Museum</t>
  </si>
  <si>
    <t xml:space="preserve">NZ</t>
  </si>
  <si>
    <t xml:space="preserve">32e82a64-c9b4-4b2f-9fbd-d446309b973f</t>
  </si>
  <si>
    <t xml:space="preserve">USF Water Institute</t>
  </si>
  <si>
    <t xml:space="preserve">253fc67c-c7fb-4c85-88f5-43ac6d9dc8a9</t>
  </si>
  <si>
    <t xml:space="preserve">South Australian Museum</t>
  </si>
  <si>
    <t xml:space="preserve">4d0539cd-a2e0-4a2c-8b7d-ec6718eef764</t>
  </si>
  <si>
    <t xml:space="preserve">University of Washington Burke Museum</t>
  </si>
  <si>
    <t xml:space="preserve">06fcbbf0-0562-11d8-b851-b8a03c50a862</t>
  </si>
  <si>
    <t xml:space="preserve">TOTAL</t>
  </si>
  <si>
    <t xml:space="preserve">Share of parcel records: iBOL + eBird</t>
  </si>
  <si>
    <t xml:space="preserve">Dataset</t>
  </si>
  <si>
    <t xml:space="preserve">License</t>
  </si>
  <si>
    <t xml:space="preserve">GBIF dataset page</t>
  </si>
  <si>
    <t xml:space="preserve">datasetKey</t>
  </si>
  <si>
    <t xml:space="preserve">International Barcode of Life project (iBOL)</t>
  </si>
  <si>
    <t xml:space="preserve">https://www.gbif.org/dataset/040c5662-da76-4782-a48e-cdea1892d14c</t>
  </si>
  <si>
    <t xml:space="preserve">040c5662-da76-4782-a48e-cdea1892d14c</t>
  </si>
  <si>
    <t xml:space="preserve">EOD – eBird Observation Dataset</t>
  </si>
  <si>
    <t xml:space="preserve">https://www.gbif.org/dataset/4fa7b334-ce0d-4e88-aaae-2e0c138d049e</t>
  </si>
  <si>
    <t xml:space="preserve">4fa7b334-ce0d-4e88-aaae-2e0c138d049e</t>
  </si>
  <si>
    <t xml:space="preserve">iNaturalist Research-grade Observations</t>
  </si>
  <si>
    <t xml:space="preserve">CC-BY-NC 4.0</t>
  </si>
  <si>
    <t xml:space="preserve">https://www.gbif.org/dataset/50c9509d-22c7-4a22-a47d-8c48425ef4a7</t>
  </si>
  <si>
    <t xml:space="preserve">50c9509d-22c7-4a22-a47d-8c48425ef4a7</t>
  </si>
  <si>
    <t xml:space="preserve">CAS Entomology (ENT)</t>
  </si>
  <si>
    <t xml:space="preserve">https://www.gbif.org/dataset/14f3151a-e95d-493c-a40d-d9938ef62954</t>
  </si>
  <si>
    <t xml:space="preserve">14f3151a-e95d-493c-a40d-d9938ef62954</t>
  </si>
  <si>
    <t xml:space="preserve">SBBG - Clifton Smith Herbarium, Santa Barbara Botanic Garden</t>
  </si>
  <si>
    <t xml:space="preserve">https://www.gbif.org/dataset/ed3d96f2-db7b-48cd-9960-f871e7df7286</t>
  </si>
  <si>
    <t xml:space="preserve">ed3d96f2-db7b-48cd-9960-f871e7df7286</t>
  </si>
  <si>
    <t xml:space="preserve">OBI - Robert F. Hoover Herbarium, Cal Poly State University</t>
  </si>
  <si>
    <t xml:space="preserve">https://www.gbif.org/dataset/f56df26e-73f5-4d37-bfed-3d46c0834e82</t>
  </si>
  <si>
    <t xml:space="preserve">f56df26e-73f5-4d37-bfed-3d46c0834e82</t>
  </si>
  <si>
    <t xml:space="preserve">UCSB - University of California Santa Barbara Herbarium</t>
  </si>
  <si>
    <t xml:space="preserve">https://www.gbif.org/dataset/62cccd4d-eafc-4287-a070-5701aa6ef4a2</t>
  </si>
  <si>
    <t xml:space="preserve">62cccd4d-eafc-4287-a070-5701aa6ef4a2</t>
  </si>
  <si>
    <t xml:space="preserve">Santa Barbara Museum of Natural History - Invertebrate Zoology</t>
  </si>
  <si>
    <t xml:space="preserve">https://www.gbif.org/dataset/a004778c-d113-479e-a77f-990041283a51</t>
  </si>
  <si>
    <t xml:space="preserve">a004778c-d113-479e-a77f-990041283a51</t>
  </si>
  <si>
    <t xml:space="preserve">LACM Invertebrate Paleontology</t>
  </si>
  <si>
    <t xml:space="preserve">https://www.gbif.org/dataset/f0a7ca6e-8da6-4629-97bd-0368705a4d6b</t>
  </si>
  <si>
    <t xml:space="preserve">f0a7ca6e-8da6-4629-97bd-0368705a4d6b</t>
  </si>
  <si>
    <t xml:space="preserve">SBMNH Vertebrate Zoology</t>
  </si>
  <si>
    <t xml:space="preserve">https://www.gbif.org/dataset/75018539-6328-41de-b875-7c2e61dc1635</t>
  </si>
  <si>
    <t xml:space="preserve">75018539-6328-41de-b875-7c2e61dc1635</t>
  </si>
  <si>
    <t xml:space="preserve">RSA - California Botanic Garden Herbarium</t>
  </si>
  <si>
    <t xml:space="preserve">https://www.gbif.org/dataset/9781ce05-2379-4a10-ab3b-c91346510df8</t>
  </si>
  <si>
    <t xml:space="preserve">9781ce05-2379-4a10-ab3b-c91346510df8</t>
  </si>
  <si>
    <t xml:space="preserve">LACM Malacology</t>
  </si>
  <si>
    <t xml:space="preserve">https://www.gbif.org/dataset/ec0ad39f-3370-4d51-a663-cb27abd2a6bb</t>
  </si>
  <si>
    <t xml:space="preserve">ec0ad39f-3370-4d51-a663-cb27abd2a6bb</t>
  </si>
  <si>
    <t xml:space="preserve">Carl W. Sharsmith Herbarium at San Jose State University - Bryophytes</t>
  </si>
  <si>
    <t xml:space="preserve">https://www.gbif.org/dataset/868a8d7e-b9d1-4458-a5f6-71311971fbe5</t>
  </si>
  <si>
    <t xml:space="preserve">868a8d7e-b9d1-4458-a5f6-71311971fbe5</t>
  </si>
  <si>
    <t xml:space="preserve">University of Washington Herbarium (WTU) - Algae Collection</t>
  </si>
  <si>
    <t xml:space="preserve">https://www.gbif.org/dataset/239278c1-72c9-43f0-ae9c-bf87908a2614</t>
  </si>
  <si>
    <t xml:space="preserve">239278c1-72c9-43f0-ae9c-bf87908a2614</t>
  </si>
  <si>
    <t xml:space="preserve">LACM Vertebrate Collection</t>
  </si>
  <si>
    <t xml:space="preserve">https://www.gbif.org/dataset/7a25f7aa-03fb-4322-aaeb-66719e1a9527</t>
  </si>
  <si>
    <t xml:space="preserve">7a25f7aa-03fb-4322-aaeb-66719e1a9527</t>
  </si>
  <si>
    <t xml:space="preserve">UCR - University of California, Riverside Herbarium - Vascular Plants</t>
  </si>
  <si>
    <t xml:space="preserve">https://www.gbif.org/dataset/e523cf2d-4fc2-48d8-aa75-80ecbc90b3f5</t>
  </si>
  <si>
    <t xml:space="preserve">e523cf2d-4fc2-48d8-aa75-80ecbc90b3f5</t>
  </si>
  <si>
    <t xml:space="preserve">CAS Ornithology (ORN)</t>
  </si>
  <si>
    <t xml:space="preserve">https://www.gbif.org/dataset/4f29b6ab-20c0-4479-8795-4915bedcebd1</t>
  </si>
  <si>
    <t xml:space="preserve">4f29b6ab-20c0-4479-8795-4915bedcebd1</t>
  </si>
  <si>
    <t xml:space="preserve">DAV - University of California, Davis Center for Plant Diversity - Vascular Plants</t>
  </si>
  <si>
    <t xml:space="preserve">https://www.gbif.org/dataset/c267909d-184f-4138-9e67-a074d478d52b</t>
  </si>
  <si>
    <t xml:space="preserve">c267909d-184f-4138-9e67-a074d478d52b</t>
  </si>
  <si>
    <t xml:space="preserve">UCSC Herbarium - Kenneth S. Norris Center for Natural History, University of California Santa Cruz</t>
  </si>
  <si>
    <t xml:space="preserve">https://www.gbif.org/dataset/7a0fb075-53c5-470b-a1c9-579bb3147ddf</t>
  </si>
  <si>
    <t xml:space="preserve">7a0fb075-53c5-470b-a1c9-579bb3147ddf</t>
  </si>
  <si>
    <t xml:space="preserve">Gilbert M. Smith Herbarium</t>
  </si>
  <si>
    <t xml:space="preserve">https://www.gbif.org/dataset/1154759f-b989-4888-b670-4c960f4c1871</t>
  </si>
  <si>
    <t xml:space="preserve">1154759f-b989-4888-b670-4c960f4c1871</t>
  </si>
  <si>
    <t xml:space="preserve">SIO Marine Vertebrate Collection</t>
  </si>
  <si>
    <t xml:space="preserve">https://www.gbif.org/dataset/e1a01804-881b-42ae-8f97-1e80f697fd56</t>
  </si>
  <si>
    <t xml:space="preserve">e1a01804-881b-42ae-8f97-1e80f697fd56</t>
  </si>
  <si>
    <t xml:space="preserve">A global database for the distributions of crop wild relatives</t>
  </si>
  <si>
    <t xml:space="preserve">https://www.gbif.org/dataset/07044577-bd82-4089-9f3a-f4a9d2170b2e</t>
  </si>
  <si>
    <t xml:space="preserve">07044577-bd82-4089-9f3a-f4a9d2170b2e</t>
  </si>
  <si>
    <t xml:space="preserve">CAS Invertebrate Zoology (IZ)</t>
  </si>
  <si>
    <t xml:space="preserve">https://www.gbif.org/dataset/44bcde48-ac71-46f2-bf73-24fc3c008b6c</t>
  </si>
  <si>
    <t xml:space="preserve">44bcde48-ac71-46f2-bf73-24fc3c008b6c</t>
  </si>
  <si>
    <t xml:space="preserve">Delaware Museum of Nature and Science – Mollusks</t>
  </si>
  <si>
    <t xml:space="preserve">https://www.gbif.org/dataset/3ee66eb3-4786-4bda-b7f1-c145b1a57a6b</t>
  </si>
  <si>
    <t xml:space="preserve">3ee66eb3-4786-4bda-b7f1-c145b1a57a6b</t>
  </si>
  <si>
    <t xml:space="preserve">IRVC - University of California, Irvine Herbarium</t>
  </si>
  <si>
    <t xml:space="preserve">https://www.gbif.org/dataset/7fc39a52-0d5c-40e1-a6a7-c64068a1fa76</t>
  </si>
  <si>
    <t xml:space="preserve">7fc39a52-0d5c-40e1-a6a7-c64068a1fa76</t>
  </si>
  <si>
    <t xml:space="preserve">University of North Carolina at Chapel Hill Herbarium; Max &amp; Fran Hommersand Algae Herbarium: Algae</t>
  </si>
  <si>
    <t xml:space="preserve">https://www.gbif.org/dataset/f88bbba9-41d1-4cc8-b19f-94d50b58cada</t>
  </si>
  <si>
    <t xml:space="preserve">f88bbba9-41d1-4cc8-b19f-94d50b58cada</t>
  </si>
  <si>
    <t xml:space="preserve">Santa Barbara Museum of Natural History Entomology Collection</t>
  </si>
  <si>
    <t xml:space="preserve">https://www.gbif.org/dataset/d883d764-4522-4928-bdf7-4d6f0aae2ebd</t>
  </si>
  <si>
    <t xml:space="preserve">d883d764-4522-4928-bdf7-4d6f0aae2ebd</t>
  </si>
  <si>
    <t xml:space="preserve">Canadian Museum of Nature Parasite Collection</t>
  </si>
  <si>
    <t xml:space="preserve">https://www.gbif.org/dataset/00ed18ea-4993-4809-a656-62363baa4808</t>
  </si>
  <si>
    <t xml:space="preserve">00ed18ea-4993-4809-a656-62363baa4808</t>
  </si>
  <si>
    <t xml:space="preserve">SDSU - Vascular Plants of the San Diego State University Herbarium</t>
  </si>
  <si>
    <t xml:space="preserve">https://www.gbif.org/dataset/44525bc9-4412-441a-9890-1df3d289e3f6</t>
  </si>
  <si>
    <t xml:space="preserve">44525bc9-4412-441a-9890-1df3d289e3f6</t>
  </si>
  <si>
    <t xml:space="preserve">Indiana University Herbarium, Deam Herbarium</t>
  </si>
  <si>
    <t xml:space="preserve">https://www.gbif.org/dataset/39c43f87-ad33-48f6-867c-29768e1f06d1</t>
  </si>
  <si>
    <t xml:space="preserve">39c43f87-ad33-48f6-867c-29768e1f06d1</t>
  </si>
  <si>
    <t xml:space="preserve">Diversity of the Indo-Pacific (DIPnet)</t>
  </si>
  <si>
    <t xml:space="preserve">https://www.gbif.org/dataset/89d78af0-ad71-4136-9812-fb1d415ec933</t>
  </si>
  <si>
    <t xml:space="preserve">89d78af0-ad71-4136-9812-fb1d415ec933</t>
  </si>
  <si>
    <t xml:space="preserve">Tropicos Specimens Non-MO</t>
  </si>
  <si>
    <t xml:space="preserve">https://www.gbif.org/dataset/e053ff53-c156-4e2e-b9b5-4462e9625424</t>
  </si>
  <si>
    <t xml:space="preserve">e053ff53-c156-4e2e-b9b5-4462e9625424</t>
  </si>
  <si>
    <t xml:space="preserve">Field Museum of Natural History (Botany) Lichen Collection</t>
  </si>
  <si>
    <t xml:space="preserve">https://www.gbif.org/dataset/aec6d756-3aa8-465e-83fd-4f6ee83e693e</t>
  </si>
  <si>
    <t xml:space="preserve">aec6d756-3aa8-465e-83fd-4f6ee83e693e</t>
  </si>
  <si>
    <t xml:space="preserve">The University and Jepson Herbaria -- Vascular Plants</t>
  </si>
  <si>
    <t xml:space="preserve">https://www.gbif.org/dataset/83a49751-4282-481e-a847-1c5c224a0551</t>
  </si>
  <si>
    <t xml:space="preserve">83a49751-4282-481e-a847-1c5c224a0551</t>
  </si>
  <si>
    <t xml:space="preserve">LACM Echinoderms</t>
  </si>
  <si>
    <t xml:space="preserve">https://www.gbif.org/dataset/fe1cedbd-3171-4370-b5b1-1323fc8492c7</t>
  </si>
  <si>
    <t xml:space="preserve">fe1cedbd-3171-4370-b5b1-1323fc8492c7</t>
  </si>
  <si>
    <t xml:space="preserve">Malacology Collection at the Academy of Natural Sciences of Philadelphia</t>
  </si>
  <si>
    <t xml:space="preserve">https://www.gbif.org/dataset/86b50d88-f762-11e1-a439-00145eb45e9a</t>
  </si>
  <si>
    <t xml:space="preserve">86b50d88-f762-11e1-a439-00145eb45e9a</t>
  </si>
  <si>
    <t xml:space="preserve">Wisconsin State Herbarium, Lichens</t>
  </si>
  <si>
    <t xml:space="preserve">https://www.gbif.org/dataset/10eeee73-a6f5-4793-bad4-b935db096efa</t>
  </si>
  <si>
    <t xml:space="preserve">10eeee73-a6f5-4793-bad4-b935db096efa</t>
  </si>
  <si>
    <t xml:space="preserve">UF Invertebrate Zoology</t>
  </si>
  <si>
    <t xml:space="preserve">https://www.gbif.org/dataset/85b1cfb6-f762-11e1-a439-00145eb45e9a</t>
  </si>
  <si>
    <t xml:space="preserve">85b1cfb6-f762-11e1-a439-00145eb45e9a</t>
  </si>
  <si>
    <t xml:space="preserve">Illinois Natural History Survey Insect Collection</t>
  </si>
  <si>
    <t xml:space="preserve">https://www.gbif.org/dataset/68513375-3aa5-4f6f-9975-d97d56c21d61</t>
  </si>
  <si>
    <t xml:space="preserve">68513375-3aa5-4f6f-9975-d97d56c21d61</t>
  </si>
  <si>
    <t xml:space="preserve">UTEP Plants (Arctos)</t>
  </si>
  <si>
    <t xml:space="preserve">https://www.gbif.org/dataset/1a9d08bb-9e2c-4540-8f7f-3205846b6ddc</t>
  </si>
  <si>
    <t xml:space="preserve">1a9d08bb-9e2c-4540-8f7f-3205846b6ddc</t>
  </si>
  <si>
    <t xml:space="preserve">Robert F. Hoover Herbarium, Cal Poly State University - Lichens</t>
  </si>
  <si>
    <t xml:space="preserve">https://www.gbif.org/dataset/c3911107-2641-4ecb-960d-563ccc6d36ed</t>
  </si>
  <si>
    <t xml:space="preserve">c3911107-2641-4ecb-960d-563ccc6d36ed</t>
  </si>
  <si>
    <t xml:space="preserve">University of Michigan Museum of Zoology, Division of Birds</t>
  </si>
  <si>
    <t xml:space="preserve">https://www.gbif.org/dataset/be5507b9-7abf-4b69-afe1-5ca2b7561734</t>
  </si>
  <si>
    <t xml:space="preserve">be5507b9-7abf-4b69-afe1-5ca2b7561734</t>
  </si>
  <si>
    <t xml:space="preserve">https://www.gbif.org/dataset/4bfac3ea-8763-4f4b-a71a-76a6f5f243d3</t>
  </si>
  <si>
    <t xml:space="preserve">4bfac3ea-8763-4f4b-a71a-76a6f5f243d3</t>
  </si>
  <si>
    <t xml:space="preserve">CDA - California Department of Food and Agriculture</t>
  </si>
  <si>
    <t xml:space="preserve">https://www.gbif.org/dataset/b0515413-6d32-490a-83a0-f8c08f002c70</t>
  </si>
  <si>
    <t xml:space="preserve">b0515413-6d32-490a-83a0-f8c08f002c70</t>
  </si>
  <si>
    <t xml:space="preserve">https://www.gbif.org/dataset/c8d12f8a-7e39-4e2c-92d7-825d590ad15b</t>
  </si>
  <si>
    <t xml:space="preserve">c8d12f8a-7e39-4e2c-92d7-825d590ad15b</t>
  </si>
  <si>
    <t xml:space="preserve">INSDC Sequences</t>
  </si>
  <si>
    <t xml:space="preserve">https://www.gbif.org/dataset/d8cd16ba-bb74-4420-821e-083f2bac17c2</t>
  </si>
  <si>
    <t xml:space="preserve">d8cd16ba-bb74-4420-821e-083f2bac17c2</t>
  </si>
  <si>
    <t xml:space="preserve">C.P. Gillette Museum of Arthropod Diversity</t>
  </si>
  <si>
    <t xml:space="preserve">https://www.gbif.org/dataset/323b0e80-5e4b-4cc4-936a-d93fc8cae9bc</t>
  </si>
  <si>
    <t xml:space="preserve">323b0e80-5e4b-4cc4-936a-d93fc8cae9bc</t>
  </si>
  <si>
    <t xml:space="preserve">Entomology Division, Yale Peabody Museum</t>
  </si>
  <si>
    <t xml:space="preserve">https://www.gbif.org/dataset/96404cc2-f762-11e1-a439-00145eb45e9a</t>
  </si>
  <si>
    <t xml:space="preserve">96404cc2-f762-11e1-a439-00145eb45e9a</t>
  </si>
  <si>
    <t xml:space="preserve">UAM Fish Collection (Arctos)</t>
  </si>
  <si>
    <t xml:space="preserve">https://www.gbif.org/dataset/2f46fe6f-b9fd-4dba-8ca2-2cb1368ceed8</t>
  </si>
  <si>
    <t xml:space="preserve">2f46fe6f-b9fd-4dba-8ca2-2cb1368ceed8</t>
  </si>
  <si>
    <t xml:space="preserve">SD - SD Herbarium, San Diego Natural History Museum</t>
  </si>
  <si>
    <t xml:space="preserve">https://www.gbif.org/dataset/9b7d1acf-b22f-4a1f-b6e8-f1ddd744dc07</t>
  </si>
  <si>
    <t xml:space="preserve">9b7d1acf-b22f-4a1f-b6e8-f1ddd744dc07</t>
  </si>
  <si>
    <t xml:space="preserve">MACF - MacFadden Herbarium, California State University Fullerton</t>
  </si>
  <si>
    <t xml:space="preserve">https://www.gbif.org/dataset/3b64407b-12fd-406e-a996-4a87994fcfc9</t>
  </si>
  <si>
    <t xml:space="preserve">3b64407b-12fd-406e-a996-4a87994fcfc9</t>
  </si>
  <si>
    <t xml:space="preserve">CHSC - Ahart Herbarium, CSU Chico - Vascular Plants</t>
  </si>
  <si>
    <t xml:space="preserve">https://www.gbif.org/dataset/ae33dc82-0bc2-43b5-b69b-65bf858f1e7a</t>
  </si>
  <si>
    <t xml:space="preserve">ae33dc82-0bc2-43b5-b69b-65bf858f1e7a</t>
  </si>
  <si>
    <t xml:space="preserve">Earth Guardians Weekly Feed</t>
  </si>
  <si>
    <t xml:space="preserve">https://www.gbif.org/dataset/e3ce628e-9683-4af7-b7a9-47eef785d3bb</t>
  </si>
  <si>
    <t xml:space="preserve">e3ce628e-9683-4af7-b7a9-47eef785d3bb</t>
  </si>
  <si>
    <t xml:space="preserve">Field Museum of Natural History (Botany) Seed Plant Collection</t>
  </si>
  <si>
    <t xml:space="preserve">https://www.gbif.org/dataset/90c853e6-56bd-480b-8e8f-6285c3f8d42b</t>
  </si>
  <si>
    <t xml:space="preserve">90c853e6-56bd-480b-8e8f-6285c3f8d42b</t>
  </si>
  <si>
    <t xml:space="preserve">LACM Entomology Collection</t>
  </si>
  <si>
    <t xml:space="preserve">https://www.gbif.org/dataset/0ec927cf-325a-4d63-9499-d721c734463a</t>
  </si>
  <si>
    <t xml:space="preserve">0ec927cf-325a-4d63-9499-d721c734463a</t>
  </si>
  <si>
    <t xml:space="preserve">Global distribution of marine forests [literature records]</t>
  </si>
  <si>
    <t xml:space="preserve">https://www.gbif.org/dataset/dc9dc0fe-517f-460f-a649-eae2340ba108</t>
  </si>
  <si>
    <t xml:space="preserve">dc9dc0fe-517f-460f-a649-eae2340ba108</t>
  </si>
  <si>
    <t xml:space="preserve">Pl@ntNet automatically identified occurrences</t>
  </si>
  <si>
    <t xml:space="preserve">https://www.gbif.org/dataset/14d5676a-2c54-4f94-9023-1e8dcd822aa0</t>
  </si>
  <si>
    <t xml:space="preserve">14d5676a-2c54-4f94-9023-1e8dcd822aa0</t>
  </si>
  <si>
    <t xml:space="preserve">SDNHM Paleontology Collection</t>
  </si>
  <si>
    <t xml:space="preserve">https://www.gbif.org/dataset/8674480c-ebdc-42cf-8d42-c3762fe137d8</t>
  </si>
  <si>
    <t xml:space="preserve">8674480c-ebdc-42cf-8d42-c3762fe137d8</t>
  </si>
  <si>
    <t xml:space="preserve">https://www.gbif.org/dataset/2e6298fb-d9d7-4915-b69d-890b5aaf91df</t>
  </si>
  <si>
    <t xml:space="preserve">2e6298fb-d9d7-4915-b69d-890b5aaf91df</t>
  </si>
  <si>
    <t xml:space="preserve">Museum of Texas Tech University Mammalogy Collection</t>
  </si>
  <si>
    <t xml:space="preserve">https://www.gbif.org/dataset/4885f6dd-9c4d-4242-8ce7-24769a2cfd6d</t>
  </si>
  <si>
    <t xml:space="preserve">4885f6dd-9c4d-4242-8ce7-24769a2cfd6d</t>
  </si>
  <si>
    <t xml:space="preserve">The University and Jepson Herbaria -- Algae</t>
  </si>
  <si>
    <t xml:space="preserve">https://www.gbif.org/dataset/e3dca178-5cef-456e-b3b0-6dc4b02bbd16</t>
  </si>
  <si>
    <t xml:space="preserve">e3dca178-5cef-456e-b3b0-6dc4b02bbd16</t>
  </si>
  <si>
    <t xml:space="preserve">University of California Santa Barbara Invertebrate Zoology Collection</t>
  </si>
  <si>
    <t xml:space="preserve">https://www.gbif.org/dataset/d6097f75-f99e-4c2a-b8a5-b0fc213ecbd0</t>
  </si>
  <si>
    <t xml:space="preserve">d6097f75-f99e-4c2a-b8a5-b0fc213ecbd0</t>
  </si>
  <si>
    <t xml:space="preserve">The New York Botanical Garden Herbarium (NY)</t>
  </si>
  <si>
    <t xml:space="preserve">https://www.gbif.org/dataset/d415c253-4d61-4459-9d25-4015b9084fb0</t>
  </si>
  <si>
    <t xml:space="preserve">d415c253-4d61-4459-9d25-4015b9084fb0</t>
  </si>
  <si>
    <t xml:space="preserve">SFV - California State University, Northridge</t>
  </si>
  <si>
    <t xml:space="preserve">https://www.gbif.org/dataset/3dedd874-1c74-487c-9fb3-48dcaf922bab</t>
  </si>
  <si>
    <t xml:space="preserve">3dedd874-1c74-487c-9fb3-48dcaf922bab</t>
  </si>
  <si>
    <t xml:space="preserve">LA - University of California, Los Angeles Herbarium</t>
  </si>
  <si>
    <t xml:space="preserve">https://www.gbif.org/dataset/4c122e6f-b2a4-4f91-aff5-449e9afb57b3</t>
  </si>
  <si>
    <t xml:space="preserve">4c122e6f-b2a4-4f91-aff5-449e9afb57b3</t>
  </si>
  <si>
    <t xml:space="preserve">CAS Mammalogy (MAM)</t>
  </si>
  <si>
    <t xml:space="preserve">https://www.gbif.org/dataset/6ce7290f-47f6-4046-8356-371f5b6749df</t>
  </si>
  <si>
    <t xml:space="preserve">6ce7290f-47f6-4046-8356-371f5b6749df</t>
  </si>
  <si>
    <t xml:space="preserve">CAS Herpetology (HERP)</t>
  </si>
  <si>
    <t xml:space="preserve">https://www.gbif.org/dataset/cece4fc2-1fec-4bb5-a335-7252548e3f0b</t>
  </si>
  <si>
    <t xml:space="preserve">cece4fc2-1fec-4bb5-a335-7252548e3f0b</t>
  </si>
  <si>
    <t xml:space="preserve">CAS Botany (BOT)</t>
  </si>
  <si>
    <t xml:space="preserve">https://www.gbif.org/dataset/f934f8e2-32ca-46a7-b2f8-b032a4740454</t>
  </si>
  <si>
    <t xml:space="preserve">f934f8e2-32ca-46a7-b2f8-b032a4740454</t>
  </si>
  <si>
    <t xml:space="preserve">Brigham Young University Herbarium</t>
  </si>
  <si>
    <t xml:space="preserve">https://www.gbif.org/dataset/e5b8f927-9763-418c-a404-6bf052d14b1a</t>
  </si>
  <si>
    <t xml:space="preserve">e5b8f927-9763-418c-a404-6bf052d14b1a</t>
  </si>
  <si>
    <t xml:space="preserve">MVZ Mammal Collection (Arctos)</t>
  </si>
  <si>
    <t xml:space="preserve">https://www.gbif.org/dataset/0daed095-478a-4af6-abf5-18acb790fbb2</t>
  </si>
  <si>
    <t xml:space="preserve">0daed095-478a-4af6-abf5-18acb790fbb2</t>
  </si>
  <si>
    <t xml:space="preserve">Mushroom Observer</t>
  </si>
  <si>
    <t xml:space="preserve">https://www.gbif.org/dataset/d714382d-5890-4234-ae81-696eeb53658a</t>
  </si>
  <si>
    <t xml:space="preserve">d714382d-5890-4234-ae81-696eeb53658a</t>
  </si>
  <si>
    <t xml:space="preserve">Bell Museum lichens</t>
  </si>
  <si>
    <t xml:space="preserve">https://www.gbif.org/dataset/219cedbf-462b-42e6-957b-c4b6087c452b</t>
  </si>
  <si>
    <t xml:space="preserve">219cedbf-462b-42e6-957b-c4b6087c452b</t>
  </si>
  <si>
    <t xml:space="preserve">Distribución potencial en taxones hiperdiversos y poco conocidos (Insecta:  Coleoptera: Scarabaeoidea): estimando la localización de nuevos taxones y el efecto de los cambios en los usos del suelo</t>
  </si>
  <si>
    <t xml:space="preserve">https://www.gbif.org/dataset/33751dde-421a-44bc-9f92-aa148276a74a</t>
  </si>
  <si>
    <t xml:space="preserve">33751dde-421a-44bc-9f92-aa148276a74a</t>
  </si>
  <si>
    <t xml:space="preserve">The vascular plants collection (P) at the Herbarium of the Muséum national d'Histoire Naturelle (MNHN - Paris)</t>
  </si>
  <si>
    <t xml:space="preserve">https://www.gbif.org/dataset/b5cdf794-8fa4-4a85-8b26-755d087bf531</t>
  </si>
  <si>
    <t xml:space="preserve">b5cdf794-8fa4-4a85-8b26-755d087bf531</t>
  </si>
  <si>
    <t xml:space="preserve">University of North Carolina at Chapel Hill Herbarium: Lichens</t>
  </si>
  <si>
    <t xml:space="preserve">https://www.gbif.org/dataset/f1ee5d89-af61-423f-8029-2a5d490fb890</t>
  </si>
  <si>
    <t xml:space="preserve">f1ee5d89-af61-423f-8029-2a5d490fb890</t>
  </si>
  <si>
    <t xml:space="preserve">SIO Benthic Invertebrate Collection</t>
  </si>
  <si>
    <t xml:space="preserve">https://www.gbif.org/dataset/a267b6a7-91f9-457c-889a-481e7aa920b6</t>
  </si>
  <si>
    <t xml:space="preserve">a267b6a7-91f9-457c-889a-481e7aa920b6</t>
  </si>
  <si>
    <t xml:space="preserve">Ahart Herbarium, CSU Chico - Lichens</t>
  </si>
  <si>
    <t xml:space="preserve">https://www.gbif.org/dataset/1e43bb2c-0985-4a14-bc0c-e77a2ab55a76</t>
  </si>
  <si>
    <t xml:space="preserve">1e43bb2c-0985-4a14-bc0c-e77a2ab55a76</t>
  </si>
  <si>
    <t xml:space="preserve">Bee Biology and Systematics Laboratory</t>
  </si>
  <si>
    <t xml:space="preserve">https://www.gbif.org/dataset/10e44c48-0839-4a20-86d5-f0e23ae2e366</t>
  </si>
  <si>
    <t xml:space="preserve">10e44c48-0839-4a20-86d5-f0e23ae2e366</t>
  </si>
  <si>
    <t xml:space="preserve">Santa Barbara Botanic Garden Lichen Collection</t>
  </si>
  <si>
    <t xml:space="preserve">https://www.gbif.org/dataset/840efdb8-eb68-4f72-955b-09f7918918e1</t>
  </si>
  <si>
    <t xml:space="preserve">840efdb8-eb68-4f72-955b-09f7918918e1</t>
  </si>
  <si>
    <t xml:space="preserve">Historical distribution of whales shown by logbook records 1785-1913</t>
  </si>
  <si>
    <t xml:space="preserve">https://www.gbif.org/dataset/01d9d254-b18c-458e-b6e1-fc569edb7f09</t>
  </si>
  <si>
    <t xml:space="preserve">01d9d254-b18c-458e-b6e1-fc569edb7f09</t>
  </si>
  <si>
    <t xml:space="preserve">https://www.gbif.org/dataset/3c59bd42-7bfd-421b-8da4-275780390e4c</t>
  </si>
  <si>
    <t xml:space="preserve">3c59bd42-7bfd-421b-8da4-275780390e4c</t>
  </si>
  <si>
    <t xml:space="preserve">Royal Ontario Museum - Invertebrate Zoology</t>
  </si>
  <si>
    <t xml:space="preserve">https://www.gbif.org/dataset/7a9ad56e-7452-4f24-a1b4-3be3400c9a9d</t>
  </si>
  <si>
    <t xml:space="preserve">7a9ad56e-7452-4f24-a1b4-3be3400c9a9d</t>
  </si>
  <si>
    <t xml:space="preserve">Arizona State University Lichen Herbarium</t>
  </si>
  <si>
    <t xml:space="preserve">https://www.gbif.org/dataset/98bceab6-3c3e-4163-945d-6ca10576ebf1</t>
  </si>
  <si>
    <t xml:space="preserve">98bceab6-3c3e-4163-945d-6ca10576ebf1</t>
  </si>
  <si>
    <t xml:space="preserve">MARINe/PISCO: Intertidal: MARINe Long-Term Monitoring Surveys: Photo Plots and Transects Summarized</t>
  </si>
  <si>
    <t xml:space="preserve">https://www.gbif.org/dataset/e24dcb47-89f9-4481-a8ac-c38ef26b2865</t>
  </si>
  <si>
    <t xml:space="preserve">e24dcb47-89f9-4481-a8ac-c38ef26b2865</t>
  </si>
  <si>
    <t xml:space="preserve">MARINe/PISCO: Intertidal: MARINe Coastal Biodiversity Surveys: Point Contact Surveys Summarized</t>
  </si>
  <si>
    <t xml:space="preserve">https://www.gbif.org/dataset/58ffefab-20aa-4cec-b0c0-dd7330ed7280</t>
  </si>
  <si>
    <t xml:space="preserve">58ffefab-20aa-4cec-b0c0-dd7330ed7280</t>
  </si>
  <si>
    <t xml:space="preserve">MARINe/PISCO: Intertidal: MARINe Coastal Biodiversity Surveys: Quadrat Surveys Summarized</t>
  </si>
  <si>
    <t xml:space="preserve">https://www.gbif.org/dataset/ca83b8e3-d395-4895-8d1f-483865f95de7</t>
  </si>
  <si>
    <t xml:space="preserve">ca83b8e3-d395-4895-8d1f-483865f95de7</t>
  </si>
  <si>
    <t xml:space="preserve">MARINe/PISCO: Intertidal: MARINe Long-Term Monitoring Surveys: Sea Stars and Katharina</t>
  </si>
  <si>
    <t xml:space="preserve">https://www.gbif.org/dataset/9608a10c-092d-4885-ac17-fa07d4c7cd8d</t>
  </si>
  <si>
    <t xml:space="preserve">9608a10c-092d-4885-ac17-fa07d4c7cd8d</t>
  </si>
  <si>
    <t xml:space="preserve">MMS Surveys, SCB 1995-1997</t>
  </si>
  <si>
    <t xml:space="preserve">https://www.gbif.org/dataset/a9ab5b7d-a8d1-44b7-8ade-851f3ce6fa54</t>
  </si>
  <si>
    <t xml:space="preserve">a9ab5b7d-a8d1-44b7-8ade-851f3ce6fa54</t>
  </si>
  <si>
    <t xml:space="preserve">Cleveland Museum of Natural History</t>
  </si>
  <si>
    <t xml:space="preserve">https://www.gbif.org/dataset/6c032b27-e4fe-4bc9-8f11-6b5f864910ce</t>
  </si>
  <si>
    <t xml:space="preserve">6c032b27-e4fe-4bc9-8f11-6b5f864910ce</t>
  </si>
  <si>
    <t xml:space="preserve">MARINe/PISCO: Intertidal: MARINe Coastal Biodiversity Surveys: Swath Surveys Summarized</t>
  </si>
  <si>
    <t xml:space="preserve">https://www.gbif.org/dataset/f02fb197-9597-4c3e-9ba0-ba29847ccdef</t>
  </si>
  <si>
    <t xml:space="preserve">f02fb197-9597-4c3e-9ba0-ba29847ccdef</t>
  </si>
  <si>
    <t xml:space="preserve">NMNH Extant Specimen Records (USNM, US)</t>
  </si>
  <si>
    <t xml:space="preserve">https://www.gbif.org/dataset/821cc27a-e3bb-4bc5-ac34-89ada245069d</t>
  </si>
  <si>
    <t xml:space="preserve">821cc27a-e3bb-4bc5-ac34-89ada245069d</t>
  </si>
  <si>
    <t xml:space="preserve">California State University, Long Beach Mammal specimens (Arctos)</t>
  </si>
  <si>
    <t xml:space="preserve">https://www.gbif.org/dataset/431b19b9-b5b4-4bcb-ae11-072899dd4c52</t>
  </si>
  <si>
    <t xml:space="preserve">431b19b9-b5b4-4bcb-ae11-072899dd4c52</t>
  </si>
  <si>
    <t xml:space="preserve">CAS Ichthyology (ICH)</t>
  </si>
  <si>
    <t xml:space="preserve">https://www.gbif.org/dataset/5d6c10bd-ea31-4363-8b79-58c96d859f5b</t>
  </si>
  <si>
    <t xml:space="preserve">5d6c10bd-ea31-4363-8b79-58c96d859f5b</t>
  </si>
  <si>
    <t xml:space="preserve">https://www.gbif.org/dataset/bb5b30b4-827e-4d5e-a86a-825d65cb6583</t>
  </si>
  <si>
    <t xml:space="preserve">bb5b30b4-827e-4d5e-a86a-825d65cb6583</t>
  </si>
  <si>
    <t xml:space="preserve">University of New Hampshire - Macroalgal Collection</t>
  </si>
  <si>
    <t xml:space="preserve">https://www.gbif.org/dataset/675bbffd-ff44-4b8a-a1b9-d520ec9220c9</t>
  </si>
  <si>
    <t xml:space="preserve">675bbffd-ff44-4b8a-a1b9-d520ec9220c9</t>
  </si>
  <si>
    <t xml:space="preserve">University of California Santa Barbara Algae Collection</t>
  </si>
  <si>
    <t xml:space="preserve">https://www.gbif.org/dataset/a204e694-be91-47b9-9ddd-0f63784e9626</t>
  </si>
  <si>
    <t xml:space="preserve">a204e694-be91-47b9-9ddd-0f63784e9626</t>
  </si>
  <si>
    <t xml:space="preserve">AntWeb</t>
  </si>
  <si>
    <t xml:space="preserve">https://www.gbif.org/dataset/13b70480-bd69-11dd-b15f-b8a03c50a862</t>
  </si>
  <si>
    <t xml:space="preserve">13b70480-bd69-11dd-b15f-b8a03c50a862</t>
  </si>
  <si>
    <t xml:space="preserve">University of Michigan Museum of Zoology, Division of Fishes</t>
  </si>
  <si>
    <t xml:space="preserve">https://www.gbif.org/dataset/59825263-9f89-43a9-8f22-c22a6a53b8fc</t>
  </si>
  <si>
    <t xml:space="preserve">59825263-9f89-43a9-8f22-c22a6a53b8fc</t>
  </si>
  <si>
    <t xml:space="preserve">TOPP Summary of SSM-derived Telemetry</t>
  </si>
  <si>
    <t xml:space="preserve">https://www.gbif.org/dataset/50914b57-6c66-4432-91c7-edbc7a296a9f</t>
  </si>
  <si>
    <t xml:space="preserve">50914b57-6c66-4432-91c7-edbc7a296a9f</t>
  </si>
  <si>
    <t xml:space="preserve">CSLA - Cal State LA Herbarium</t>
  </si>
  <si>
    <t xml:space="preserve">https://www.gbif.org/dataset/49e223ed-ab24-478f-b5e8-4a15af5a8f6c</t>
  </si>
  <si>
    <t xml:space="preserve">49e223ed-ab24-478f-b5e8-4a15af5a8f6c</t>
  </si>
  <si>
    <t xml:space="preserve">Arizona State University Vascular Plant Herbarium</t>
  </si>
  <si>
    <t xml:space="preserve">https://www.gbif.org/dataset/e05fd4c2-4d77-4c50-880e-1b22096af300</t>
  </si>
  <si>
    <t xml:space="preserve">e05fd4c2-4d77-4c50-880e-1b22096af300</t>
  </si>
  <si>
    <t xml:space="preserve">NMNH Material Samples (USNM)</t>
  </si>
  <si>
    <t xml:space="preserve">https://www.gbif.org/dataset/26098c25-8f7f-4c71-97ac-1d3db181c65e</t>
  </si>
  <si>
    <t xml:space="preserve">26098c25-8f7f-4c71-97ac-1d3db181c65e</t>
  </si>
  <si>
    <t xml:space="preserve">SMMSH - Santa Monica Mountains &amp; Simi Hills Herbarium of the National Park Service - Vascular Plant Collection</t>
  </si>
  <si>
    <t xml:space="preserve">https://www.gbif.org/dataset/3b26f2a7-9490-419c-b27e-1f5a896ffb64</t>
  </si>
  <si>
    <t xml:space="preserve">3b26f2a7-9490-419c-b27e-1f5a896ffb64</t>
  </si>
  <si>
    <t xml:space="preserve">Natural History Museum Rotterdam - Specimens</t>
  </si>
  <si>
    <t xml:space="preserve">https://www.gbif.org/dataset/a307e4d7-1de2-4adc-95d5-a0a8d5f57236</t>
  </si>
  <si>
    <t xml:space="preserve">a307e4d7-1de2-4adc-95d5-a0a8d5f57236</t>
  </si>
  <si>
    <t xml:space="preserve">Tropicos MO Specimen Data</t>
  </si>
  <si>
    <t xml:space="preserve">https://www.gbif.org/dataset/7bd65a7a-f762-11e1-a439-00145eb45e9a</t>
  </si>
  <si>
    <t xml:space="preserve">7bd65a7a-f762-11e1-a439-00145eb45e9a</t>
  </si>
  <si>
    <t xml:space="preserve">Illinois Natural History Survey - Mollusk Collection</t>
  </si>
  <si>
    <t xml:space="preserve">https://www.gbif.org/dataset/763f9aee-060c-4d71-a538-16c383e53a4d</t>
  </si>
  <si>
    <t xml:space="preserve">763f9aee-060c-4d71-a538-16c383e53a4d</t>
  </si>
  <si>
    <t xml:space="preserve">Auckland Museum NZ Marine Collection</t>
  </si>
  <si>
    <t xml:space="preserve">https://www.gbif.org/dataset/e2980e63-d152-4219-8c1e-0ffdef3ea6aa</t>
  </si>
  <si>
    <t xml:space="preserve">e2980e63-d152-4219-8c1e-0ffdef3ea6aa</t>
  </si>
  <si>
    <t xml:space="preserve">INSDC Host Organism Sequences</t>
  </si>
  <si>
    <t xml:space="preserve">https://www.gbif.org/dataset/393b8c26-e4e0-4dd0-a218-93fc074ebf4e</t>
  </si>
  <si>
    <t xml:space="preserve">393b8c26-e4e0-4dd0-a218-93fc074ebf4e</t>
  </si>
  <si>
    <t xml:space="preserve">WFVZ Bird Collections</t>
  </si>
  <si>
    <t xml:space="preserve">https://www.gbif.org/dataset/8be43f9b-52e7-47d4-be3e-dbcc066d70ab</t>
  </si>
  <si>
    <t xml:space="preserve">8be43f9b-52e7-47d4-be3e-dbcc066d70ab</t>
  </si>
  <si>
    <t xml:space="preserve">Laura Steger and Rick Overson Vertebrate Observations</t>
  </si>
  <si>
    <t xml:space="preserve">https://www.gbif.org/dataset/5bab201b-e36e-4c4d-898c-bff52957da1d</t>
  </si>
  <si>
    <t xml:space="preserve">5bab201b-e36e-4c4d-898c-bff52957da1d</t>
  </si>
  <si>
    <t xml:space="preserve">Australian Museum provider for OZCAM</t>
  </si>
  <si>
    <t xml:space="preserve">https://www.gbif.org/dataset/dce8feb0-6c89-11de-8225-b8a03c50a862</t>
  </si>
  <si>
    <t xml:space="preserve">dce8feb0-6c89-11de-8225-b8a03c50a862</t>
  </si>
  <si>
    <t xml:space="preserve">San Diego Natural History Museum Marine Invertebrate Collection</t>
  </si>
  <si>
    <t xml:space="preserve">https://www.gbif.org/dataset/2a6e6cbf-3ac8-47b7-aba1-99a776fc5f18</t>
  </si>
  <si>
    <t xml:space="preserve">2a6e6cbf-3ac8-47b7-aba1-99a776fc5f18</t>
  </si>
  <si>
    <t xml:space="preserve">South Australian Museum Adelaide provider for OZCAM</t>
  </si>
  <si>
    <t xml:space="preserve">https://www.gbif.org/dataset/fa375330-6c8a-11de-8226-b8a03c50a862</t>
  </si>
  <si>
    <t xml:space="preserve">fa375330-6c8a-11de-8226-b8a03c50a862</t>
  </si>
  <si>
    <t xml:space="preserve">CAS Geology (GEO)</t>
  </si>
  <si>
    <t xml:space="preserve">https://www.gbif.org/dataset/5e848873-567f-42dd-8a29-88056b9b33a4</t>
  </si>
  <si>
    <t xml:space="preserve">5e848873-567f-42dd-8a29-88056b9b33a4</t>
  </si>
  <si>
    <t xml:space="preserve">Wood Stork Tracking (aggregated per 1-degree cell)</t>
  </si>
  <si>
    <t xml:space="preserve">https://www.gbif.org/dataset/d1e71736-59b7-4e35-84dc-eb0ebc577646</t>
  </si>
  <si>
    <t xml:space="preserve">d1e71736-59b7-4e35-84dc-eb0ebc577646</t>
  </si>
  <si>
    <t xml:space="preserve">University of South Florida - Algae</t>
  </si>
  <si>
    <t xml:space="preserve">https://www.gbif.org/dataset/911e531d-81d0-4101-8741-1a43453f2790</t>
  </si>
  <si>
    <t xml:space="preserve">911e531d-81d0-4101-8741-1a43453f2790</t>
  </si>
  <si>
    <t xml:space="preserve">Actualización de la base de datos computarizada de la colección ictiológica de la Universidad Autónoma de Baja California</t>
  </si>
  <si>
    <t xml:space="preserve">https://www.gbif.org/dataset/e7e019c6-5582-47ee-ae97-32e4cd66d4c6</t>
  </si>
  <si>
    <t xml:space="preserve">e7e019c6-5582-47ee-ae97-32e4cd66d4c6</t>
  </si>
  <si>
    <t xml:space="preserve">UWFC Ichthyology Collection</t>
  </si>
  <si>
    <t xml:space="preserve">https://www.gbif.org/dataset/831234b2-f762-11e1-a439-00145eb45e9a</t>
  </si>
  <si>
    <t xml:space="preserve">831234b2-f762-11e1-a439-00145eb45e9a</t>
  </si>
  <si>
    <t xml:space="preserve">SNI California Sea Lions 2014 (aggregated per 1-degree cell)</t>
  </si>
  <si>
    <t xml:space="preserve">https://www.gbif.org/dataset/c842b054-639f-4257-b5d8-59c854eb9d09</t>
  </si>
  <si>
    <t xml:space="preserve">c842b054-639f-4257-b5d8-59c854eb9d09</t>
  </si>
  <si>
    <t xml:space="preserve">KUBI Herpetology Collection</t>
  </si>
  <si>
    <t xml:space="preserve">https://www.gbif.org/dataset/dce00a1f-f6b4-4e11-9771-92c62c40ad80</t>
  </si>
  <si>
    <t xml:space="preserve">dce00a1f-f6b4-4e11-9771-92c62c40ad80</t>
  </si>
  <si>
    <t xml:space="preserve">Essig Museum of Entomology</t>
  </si>
  <si>
    <t xml:space="preserve">https://www.gbif.org/dataset/5d283bb6-64dd-4626-8b3b-a4e8db5415c3</t>
  </si>
  <si>
    <t xml:space="preserve">5d283bb6-64dd-4626-8b3b-a4e8db5415c3</t>
  </si>
  <si>
    <t xml:space="preserve">RBINS DaRWIN</t>
  </si>
  <si>
    <t xml:space="preserve">https://www.gbif.org/dataset/8138eb72-f762-11e1-a439-00145eb45e9a</t>
  </si>
  <si>
    <t xml:space="preserve">8138eb72-f762-11e1-a439-00145eb45e9a</t>
  </si>
  <si>
    <t xml:space="preserve">Northern Elephant Seals Post-Molting 2016 (aggregated per 1-degree cell)</t>
  </si>
  <si>
    <t xml:space="preserve">https://www.gbif.org/dataset/c0e32290-cf5a-47a0-91ca-2c26fbf5bd64</t>
  </si>
  <si>
    <t xml:space="preserve">c0e32290-cf5a-47a0-91ca-2c26fbf5bd64</t>
  </si>
  <si>
    <t xml:space="preserve">Distribución potencial de las especies de anfibios y reptiles en categoría de riesgo de México</t>
  </si>
  <si>
    <t xml:space="preserve">https://www.gbif.org/dataset/b349f235-926d-43ff-b6f7-fc3c1928f581</t>
  </si>
  <si>
    <t xml:space="preserve">b349f235-926d-43ff-b6f7-fc3c1928f581</t>
  </si>
  <si>
    <t xml:space="preserve">Weanling Northern Elephant Seals (aggregated per 1-degree cell)</t>
  </si>
  <si>
    <t xml:space="preserve">https://www.gbif.org/dataset/178869e4-2ef9-403d-9d29-3a443e85b181</t>
  </si>
  <si>
    <t xml:space="preserve">178869e4-2ef9-403d-9d29-3a443e85b181</t>
  </si>
  <si>
    <t xml:space="preserve">R. L. McGregor Herbarium Vascular Plants Collection</t>
  </si>
  <si>
    <t xml:space="preserve">https://www.gbif.org/dataset/95c938a8-f762-11e1-a439-00145eb45e9a</t>
  </si>
  <si>
    <t xml:space="preserve">95c938a8-f762-11e1-a439-00145eb45e9a</t>
  </si>
  <si>
    <t xml:space="preserve">RBINS Mollusc collection</t>
  </si>
  <si>
    <t xml:space="preserve">https://www.gbif.org/dataset/98db0c34-403c-448d-9ac7-e8546abd6e63</t>
  </si>
  <si>
    <t xml:space="preserve">98db0c34-403c-448d-9ac7-e8546abd6e63</t>
  </si>
  <si>
    <t xml:space="preserve">MVZ Herp Collection (Arctos)</t>
  </si>
  <si>
    <t xml:space="preserve">https://www.gbif.org/dataset/09c4287e-e6d5-4552-a07f-bff8a00833d8</t>
  </si>
  <si>
    <t xml:space="preserve">09c4287e-e6d5-4552-a07f-bff8a00833d8</t>
  </si>
  <si>
    <t xml:space="preserve">Ano Nuevo 2015 Juvenile California sea lions (aggregated per 1-degree cell)</t>
  </si>
  <si>
    <t xml:space="preserve">https://www.gbif.org/dataset/5ab2268f-664c-4518-b8a1-12fe1128c34d</t>
  </si>
  <si>
    <t xml:space="preserve">5ab2268f-664c-4518-b8a1-12fe1128c34d</t>
  </si>
  <si>
    <t xml:space="preserve">Global distribution of marine forests [herbaria records]</t>
  </si>
  <si>
    <t xml:space="preserve">https://www.gbif.org/dataset/8b1d38b0-a8bf-43b1-9ac9-d3198e694769</t>
  </si>
  <si>
    <t xml:space="preserve">8b1d38b0-a8bf-43b1-9ac9-d3198e694769</t>
  </si>
  <si>
    <t xml:space="preserve">Scientific name</t>
  </si>
  <si>
    <t xml:space="preserve">Common name</t>
  </si>
  <si>
    <t xml:space="preserve">KNB source</t>
  </si>
  <si>
    <t xml:space="preserve">GBIF records in parcel</t>
  </si>
  <si>
    <t xml:space="preserve">GBIF records in parcel + 500 m</t>
  </si>
  <si>
    <t xml:space="preserve">Sensitivity note</t>
  </si>
  <si>
    <t xml:space="preserve">Actinemys pallida</t>
  </si>
  <si>
    <t xml:space="preserve">Southern western pond turtle</t>
  </si>
  <si>
    <t xml:space="preserve">CDFW redd survey (20 obs)</t>
  </si>
  <si>
    <t xml:space="preserve">Sensitive</t>
  </si>
  <si>
    <t xml:space="preserve">Rana draytonii</t>
  </si>
  <si>
    <t xml:space="preserve">California red-legged frog</t>
  </si>
  <si>
    <t xml:space="preserve">CDFW redd survey (6 obs); habitat assessment notes</t>
  </si>
  <si>
    <t xml:space="preserve">Sensitive (FT)</t>
  </si>
  <si>
    <t xml:space="preserve">Thamnophis hammondii</t>
  </si>
  <si>
    <t xml:space="preserve">Two-striped garter snake</t>
  </si>
  <si>
    <t xml:space="preserve">CDFW redd survey (4 obs)</t>
  </si>
  <si>
    <t xml:space="preserve">Sensitive (SSC)</t>
  </si>
  <si>
    <t xml:space="preserve">Oncorhynchus mykiss</t>
  </si>
  <si>
    <t xml:space="preserve">Steelhead / rainbow trout</t>
  </si>
  <si>
    <t xml:space="preserve">CDFW surveys (absence data)</t>
  </si>
  <si>
    <t xml:space="preserve">Sensitive (FE, S. Calif. DPS)</t>
  </si>
  <si>
    <t xml:space="preserve">Charadrius nivosus</t>
  </si>
  <si>
    <t xml:space="preserve">Western snowy plover</t>
  </si>
  <si>
    <t xml:space="preserve">Point Blue nests (5); shorebird surveys</t>
  </si>
  <si>
    <t xml:space="preserve">Urile pelagicus</t>
  </si>
  <si>
    <t xml:space="preserve">Pelagic cormorant</t>
  </si>
  <si>
    <t xml:space="preserve">Point Blue seabird nests</t>
  </si>
  <si>
    <t xml:space="preserve">Haematopus bachmani</t>
  </si>
  <si>
    <t xml:space="preserve">Black oystercatcher</t>
  </si>
  <si>
    <t xml:space="preserve">Phoca vitulina</t>
  </si>
  <si>
    <t xml:space="preserve">Harbor seal</t>
  </si>
  <si>
    <t xml:space="preserve">VSFB pinniped counts</t>
  </si>
  <si>
    <t xml:space="preserve">Zalophus californianus</t>
  </si>
  <si>
    <t xml:space="preserve">California sea lion</t>
  </si>
  <si>
    <t xml:space="preserve">VSFB pinniped counts (notes)</t>
  </si>
  <si>
    <t xml:space="preserve">Danaus plexippus</t>
  </si>
  <si>
    <t xml:space="preserve">Monarch butterfly</t>
  </si>
  <si>
    <t xml:space="preserve">WMTC 2023 counts</t>
  </si>
  <si>
    <t xml:space="preserve">Overwintering sites often generalized</t>
  </si>
  <si>
    <t xml:space="preserve">Sus scrofa</t>
  </si>
  <si>
    <t xml:space="preserve">Feral pig</t>
  </si>
  <si>
    <t xml:space="preserve">Bren camera-trap study</t>
  </si>
  <si>
    <t xml:space="preserve">Invasive</t>
  </si>
  <si>
    <t xml:space="preserve">Antrozous pallidus</t>
  </si>
  <si>
    <t xml:space="preserve">Pallid bat</t>
  </si>
  <si>
    <t xml:space="preserve">2024 bat acoustic detections (45)</t>
  </si>
  <si>
    <t xml:space="preserve">SSC</t>
  </si>
  <si>
    <t xml:space="preserve">Myotis californicus</t>
  </si>
  <si>
    <t xml:space="preserve">California myotis</t>
  </si>
  <si>
    <t xml:space="preserve">2024 bat acoustic detections (40)</t>
  </si>
  <si>
    <t xml:space="preserve">Tadarida brasiliensis</t>
  </si>
  <si>
    <t xml:space="preserve">Mexican free-tailed bat</t>
  </si>
  <si>
    <t xml:space="preserve">2024 bat acoustic detections (221)</t>
  </si>
  <si>
    <t xml:space="preserve">GBIF counts are records currently indexed in the parcel polygon / 500 m buffer for taxa that KNB Tier A–B datasets would add. Sensitivity notes are the analyst's summary, not from the source data.</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</si>
</sst>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1"/>
      <color rgb="FFFFFFFF"/>
      <name val="Arial"/>
      <family val="0"/>
      <charset val="1"/>
    </font>
    <font>
      <b val="true"/>
      <sz val="11"/>
      <name val="Arial"/>
      <family val="0"/>
      <charset val="1"/>
    </font>
    <font>
      <i val="true"/>
      <sz val="11"/>
      <name val="Arial"/>
      <family val="0"/>
      <charset val="1"/>
    </font>
    <font>
      <i val="true"/>
      <sz val="9"/>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C6EFCE"/>
        <bgColor rgb="FFDDEBF7"/>
      </patternFill>
    </fill>
    <fill>
      <patternFill patternType="solid">
        <fgColor rgb="FFFFEB9C"/>
        <bgColor rgb="FFFFCC99"/>
      </patternFill>
    </fill>
    <fill>
      <patternFill patternType="solid">
        <fgColor rgb="FFDDEBF7"/>
        <bgColor rgb="FFEDEDED"/>
      </patternFill>
    </fill>
    <fill>
      <patternFill patternType="solid">
        <fgColor rgb="FFEDEDED"/>
        <bgColor rgb="FFDDEBF7"/>
      </patternFill>
    </fill>
    <fill>
      <patternFill patternType="solid">
        <fgColor rgb="FFFFFFFF"/>
        <bgColor rgb="FFEDEDED"/>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EDEDED"/>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35.0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1" t="s">
        <v>5</v>
      </c>
    </row>
    <row r="9" customFormat="false" ht="23.85" hidden="false" customHeight="false" outlineLevel="0" collapsed="false">
      <c r="A9" s="2" t="s">
        <v>6</v>
      </c>
    </row>
    <row r="10" customFormat="false" ht="23.85" hidden="false" customHeight="false" outlineLevel="0" collapsed="false">
      <c r="A10" s="2" t="s">
        <v>7</v>
      </c>
    </row>
    <row r="11" customFormat="false" ht="35.0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1" t="s">
        <v>9</v>
      </c>
    </row>
    <row r="14" customFormat="false" ht="23.85" hidden="false" customHeight="false" outlineLevel="0" collapsed="false">
      <c r="A14" s="2" t="s">
        <v>10</v>
      </c>
    </row>
    <row r="15" customFormat="false" ht="23.85" hidden="false" customHeight="false" outlineLevel="0" collapsed="false">
      <c r="A15" s="2" t="s">
        <v>11</v>
      </c>
    </row>
    <row r="16" customFormat="false" ht="23.85" hidden="false" customHeight="false" outlineLevel="0" collapsed="false">
      <c r="A16" s="2" t="s">
        <v>12</v>
      </c>
    </row>
    <row r="17" customFormat="false" ht="15" hidden="false" customHeight="false" outlineLevel="0" collapsed="false">
      <c r="A17" s="2"/>
    </row>
    <row r="18" customFormat="false" ht="15" hidden="false" customHeight="false" outlineLevel="0" collapsed="false">
      <c r="A18" s="1" t="s">
        <v>13</v>
      </c>
    </row>
    <row r="19" customFormat="false" ht="236.55" hidden="false" customHeight="false" outlineLevel="0" collapsed="false">
      <c r="A19"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7"/>
    <col collapsed="false" customWidth="true" hidden="false" outlineLevel="0" max="3" min="3" style="0" width="22"/>
    <col collapsed="false" customWidth="true" hidden="false" outlineLevel="0" max="4" min="4" style="0" width="26"/>
    <col collapsed="false" customWidth="true" hidden="false" outlineLevel="0" max="5" min="5" style="0" width="16"/>
    <col collapsed="false" customWidth="true" hidden="false" outlineLevel="0" max="6" min="6" style="0" width="24"/>
    <col collapsed="false" customWidth="true" hidden="false" outlineLevel="0" max="7" min="7" style="0" width="14"/>
    <col collapsed="false" customWidth="true" hidden="false" outlineLevel="0" max="8" min="8" style="0" width="32"/>
    <col collapsed="false" customWidth="true" hidden="false" outlineLevel="0" max="9" min="9" style="0" width="40"/>
    <col collapsed="false" customWidth="true" hidden="false" outlineLevel="0" max="10" min="10" style="0" width="26"/>
    <col collapsed="false" customWidth="true" hidden="false" outlineLevel="0" max="11" min="11" style="0" width="32"/>
    <col collapsed="false" customWidth="true" hidden="false" outlineLevel="0" max="12" min="12" style="0" width="11"/>
    <col collapsed="false" customWidth="true" hidden="false" outlineLevel="0" max="13" min="13" style="0" width="22"/>
    <col collapsed="false" customWidth="true" hidden="false" outlineLevel="0" max="14" min="14" style="0" width="55"/>
    <col collapsed="false" customWidth="true" hidden="false" outlineLevel="0" max="15" min="15" style="0" width="18"/>
  </cols>
  <sheetData>
    <row r="1" customFormat="false" ht="26.85" hidden="false" customHeight="false" outlineLevel="0" collapsed="false">
      <c r="A1" s="3" t="s">
        <v>15</v>
      </c>
      <c r="B1" s="3" t="s">
        <v>16</v>
      </c>
      <c r="C1" s="3" t="s">
        <v>17</v>
      </c>
      <c r="D1" s="3" t="s">
        <v>18</v>
      </c>
      <c r="E1" s="3" t="s">
        <v>19</v>
      </c>
      <c r="F1" s="3" t="s">
        <v>20</v>
      </c>
      <c r="G1" s="3" t="s">
        <v>21</v>
      </c>
      <c r="H1" s="3" t="s">
        <v>22</v>
      </c>
      <c r="I1" s="3" t="s">
        <v>23</v>
      </c>
      <c r="J1" s="3" t="s">
        <v>24</v>
      </c>
      <c r="K1" s="3" t="s">
        <v>25</v>
      </c>
      <c r="L1" s="3" t="s">
        <v>26</v>
      </c>
      <c r="M1" s="3" t="s">
        <v>27</v>
      </c>
      <c r="N1" s="3" t="s">
        <v>28</v>
      </c>
      <c r="O1" s="3" t="s">
        <v>29</v>
      </c>
    </row>
    <row r="2" customFormat="false" ht="46.25" hidden="false" customHeight="false" outlineLevel="0" collapsed="false">
      <c r="A2" s="2" t="s">
        <v>30</v>
      </c>
      <c r="B2" s="2" t="n">
        <v>2025</v>
      </c>
      <c r="C2" s="4" t="s">
        <v>31</v>
      </c>
      <c r="D2" s="4" t="s">
        <v>32</v>
      </c>
      <c r="E2" s="4" t="s">
        <v>33</v>
      </c>
      <c r="F2" s="5" t="s">
        <v>34</v>
      </c>
      <c r="G2" s="2" t="s">
        <v>35</v>
      </c>
      <c r="H2" s="2" t="s">
        <v>36</v>
      </c>
      <c r="I2" s="2" t="s">
        <v>37</v>
      </c>
      <c r="J2" s="2" t="s">
        <v>38</v>
      </c>
      <c r="K2" s="2" t="s">
        <v>39</v>
      </c>
      <c r="L2" s="4" t="s">
        <v>40</v>
      </c>
      <c r="M2" s="4"/>
      <c r="N2" s="2" t="s">
        <v>41</v>
      </c>
      <c r="O2" s="2" t="s">
        <v>42</v>
      </c>
    </row>
    <row r="3" customFormat="false" ht="35.05" hidden="false" customHeight="false" outlineLevel="0" collapsed="false">
      <c r="A3" s="2" t="s">
        <v>43</v>
      </c>
      <c r="B3" s="2" t="n">
        <v>2024</v>
      </c>
      <c r="C3" s="4" t="s">
        <v>44</v>
      </c>
      <c r="D3" s="4" t="s">
        <v>45</v>
      </c>
      <c r="E3" s="4" t="s">
        <v>33</v>
      </c>
      <c r="F3" s="5" t="s">
        <v>34</v>
      </c>
      <c r="G3" s="2" t="s">
        <v>35</v>
      </c>
      <c r="H3" s="2" t="s">
        <v>46</v>
      </c>
      <c r="I3" s="2" t="s">
        <v>47</v>
      </c>
      <c r="J3" s="2" t="s">
        <v>48</v>
      </c>
      <c r="K3" s="2" t="s">
        <v>49</v>
      </c>
      <c r="L3" s="4" t="s">
        <v>40</v>
      </c>
      <c r="M3" s="4"/>
      <c r="N3" s="2" t="s">
        <v>50</v>
      </c>
      <c r="O3" s="2" t="s">
        <v>42</v>
      </c>
    </row>
    <row r="4" customFormat="false" ht="46.25" hidden="false" customHeight="false" outlineLevel="0" collapsed="false">
      <c r="A4" s="2" t="s">
        <v>51</v>
      </c>
      <c r="B4" s="2" t="n">
        <v>2024</v>
      </c>
      <c r="C4" s="4" t="s">
        <v>44</v>
      </c>
      <c r="D4" s="4" t="s">
        <v>52</v>
      </c>
      <c r="E4" s="4" t="s">
        <v>33</v>
      </c>
      <c r="F4" s="5" t="s">
        <v>34</v>
      </c>
      <c r="G4" s="2" t="s">
        <v>35</v>
      </c>
      <c r="H4" s="2" t="s">
        <v>53</v>
      </c>
      <c r="I4" s="2" t="s">
        <v>54</v>
      </c>
      <c r="J4" s="2" t="s">
        <v>55</v>
      </c>
      <c r="K4" s="2" t="s">
        <v>56</v>
      </c>
      <c r="L4" s="4" t="s">
        <v>57</v>
      </c>
      <c r="M4" s="4"/>
      <c r="N4" s="2" t="s">
        <v>58</v>
      </c>
      <c r="O4" s="2" t="s">
        <v>42</v>
      </c>
    </row>
    <row r="5" customFormat="false" ht="35.05" hidden="false" customHeight="false" outlineLevel="0" collapsed="false">
      <c r="A5" s="2" t="s">
        <v>59</v>
      </c>
      <c r="B5" s="2" t="n">
        <v>2024</v>
      </c>
      <c r="C5" s="4" t="s">
        <v>60</v>
      </c>
      <c r="D5" s="4" t="s">
        <v>61</v>
      </c>
      <c r="E5" s="4" t="s">
        <v>33</v>
      </c>
      <c r="F5" s="5" t="s">
        <v>34</v>
      </c>
      <c r="G5" s="2" t="s">
        <v>62</v>
      </c>
      <c r="H5" s="2" t="s">
        <v>63</v>
      </c>
      <c r="I5" s="2" t="s">
        <v>64</v>
      </c>
      <c r="J5" s="2" t="s">
        <v>65</v>
      </c>
      <c r="K5" s="2" t="s">
        <v>66</v>
      </c>
      <c r="L5" s="4" t="s">
        <v>40</v>
      </c>
      <c r="M5" s="4"/>
      <c r="N5" s="2" t="s">
        <v>67</v>
      </c>
      <c r="O5" s="2" t="s">
        <v>42</v>
      </c>
    </row>
    <row r="6" customFormat="false" ht="46.25" hidden="false" customHeight="false" outlineLevel="0" collapsed="false">
      <c r="A6" s="2" t="s">
        <v>68</v>
      </c>
      <c r="B6" s="2" t="n">
        <v>2024</v>
      </c>
      <c r="C6" s="4" t="s">
        <v>69</v>
      </c>
      <c r="D6" s="4" t="s">
        <v>70</v>
      </c>
      <c r="E6" s="4" t="s">
        <v>33</v>
      </c>
      <c r="F6" s="5" t="s">
        <v>34</v>
      </c>
      <c r="G6" s="2" t="s">
        <v>35</v>
      </c>
      <c r="H6" s="2" t="s">
        <v>71</v>
      </c>
      <c r="I6" s="2" t="s">
        <v>72</v>
      </c>
      <c r="J6" s="2" t="s">
        <v>73</v>
      </c>
      <c r="K6" s="2" t="s">
        <v>74</v>
      </c>
      <c r="L6" s="4" t="s">
        <v>40</v>
      </c>
      <c r="M6" s="4"/>
      <c r="N6" s="2" t="s">
        <v>75</v>
      </c>
      <c r="O6" s="2" t="s">
        <v>42</v>
      </c>
    </row>
    <row r="7" customFormat="false" ht="23.85" hidden="false" customHeight="false" outlineLevel="0" collapsed="false">
      <c r="A7" s="2" t="s">
        <v>76</v>
      </c>
      <c r="B7" s="2" t="n">
        <v>2026</v>
      </c>
      <c r="C7" s="4" t="s">
        <v>77</v>
      </c>
      <c r="D7" s="4" t="s">
        <v>78</v>
      </c>
      <c r="E7" s="4" t="s">
        <v>33</v>
      </c>
      <c r="F7" s="6" t="s">
        <v>79</v>
      </c>
      <c r="G7" s="2" t="s">
        <v>80</v>
      </c>
      <c r="H7" s="2" t="s">
        <v>81</v>
      </c>
      <c r="I7" s="2" t="s">
        <v>82</v>
      </c>
      <c r="J7" s="2" t="s">
        <v>83</v>
      </c>
      <c r="K7" s="2" t="s">
        <v>84</v>
      </c>
      <c r="L7" s="4" t="s">
        <v>40</v>
      </c>
      <c r="M7" s="4"/>
      <c r="N7" s="2" t="s">
        <v>85</v>
      </c>
      <c r="O7" s="2" t="s">
        <v>42</v>
      </c>
    </row>
    <row r="8" customFormat="false" ht="46.25" hidden="false" customHeight="false" outlineLevel="0" collapsed="false">
      <c r="A8" s="2" t="s">
        <v>86</v>
      </c>
      <c r="B8" s="2" t="n">
        <v>2024</v>
      </c>
      <c r="C8" s="4" t="s">
        <v>44</v>
      </c>
      <c r="D8" s="4" t="s">
        <v>87</v>
      </c>
      <c r="E8" s="4" t="s">
        <v>33</v>
      </c>
      <c r="F8" s="6" t="s">
        <v>79</v>
      </c>
      <c r="G8" s="2" t="s">
        <v>35</v>
      </c>
      <c r="H8" s="2" t="s">
        <v>88</v>
      </c>
      <c r="I8" s="2" t="s">
        <v>89</v>
      </c>
      <c r="J8" s="2" t="s">
        <v>90</v>
      </c>
      <c r="K8" s="2" t="s">
        <v>91</v>
      </c>
      <c r="L8" s="4" t="s">
        <v>57</v>
      </c>
      <c r="M8" s="4"/>
      <c r="N8" s="2" t="s">
        <v>92</v>
      </c>
      <c r="O8" s="2" t="s">
        <v>42</v>
      </c>
    </row>
    <row r="9" customFormat="false" ht="23.85" hidden="false" customHeight="false" outlineLevel="0" collapsed="false">
      <c r="A9" s="2" t="s">
        <v>93</v>
      </c>
      <c r="B9" s="2" t="n">
        <v>2024</v>
      </c>
      <c r="C9" s="4" t="s">
        <v>94</v>
      </c>
      <c r="D9" s="4" t="s">
        <v>95</v>
      </c>
      <c r="E9" s="4" t="s">
        <v>33</v>
      </c>
      <c r="F9" s="6" t="s">
        <v>79</v>
      </c>
      <c r="G9" s="2" t="s">
        <v>96</v>
      </c>
      <c r="H9" s="2" t="s">
        <v>97</v>
      </c>
      <c r="I9" s="2" t="s">
        <v>98</v>
      </c>
      <c r="J9" s="2" t="s">
        <v>99</v>
      </c>
      <c r="K9" s="2" t="s">
        <v>100</v>
      </c>
      <c r="L9" s="4" t="s">
        <v>40</v>
      </c>
      <c r="M9" s="4"/>
      <c r="N9" s="2" t="s">
        <v>101</v>
      </c>
      <c r="O9" s="2" t="s">
        <v>42</v>
      </c>
    </row>
    <row r="10" customFormat="false" ht="35.05" hidden="false" customHeight="false" outlineLevel="0" collapsed="false">
      <c r="A10" s="2" t="s">
        <v>102</v>
      </c>
      <c r="B10" s="2" t="n">
        <v>2023</v>
      </c>
      <c r="C10" s="4" t="s">
        <v>103</v>
      </c>
      <c r="D10" s="4" t="s">
        <v>104</v>
      </c>
      <c r="E10" s="4" t="s">
        <v>33</v>
      </c>
      <c r="F10" s="6" t="s">
        <v>79</v>
      </c>
      <c r="G10" s="2" t="s">
        <v>105</v>
      </c>
      <c r="H10" s="2" t="s">
        <v>106</v>
      </c>
      <c r="I10" s="2" t="s">
        <v>107</v>
      </c>
      <c r="J10" s="2" t="s">
        <v>108</v>
      </c>
      <c r="K10" s="2" t="s">
        <v>109</v>
      </c>
      <c r="L10" s="4" t="s">
        <v>40</v>
      </c>
      <c r="M10" s="4"/>
      <c r="N10" s="2" t="s">
        <v>110</v>
      </c>
      <c r="O10" s="2" t="s">
        <v>42</v>
      </c>
    </row>
    <row r="11" customFormat="false" ht="46.25" hidden="false" customHeight="false" outlineLevel="0" collapsed="false">
      <c r="A11" s="2" t="s">
        <v>111</v>
      </c>
      <c r="B11" s="2" t="n">
        <v>2022</v>
      </c>
      <c r="C11" s="4" t="s">
        <v>112</v>
      </c>
      <c r="D11" s="4" t="s">
        <v>113</v>
      </c>
      <c r="E11" s="4" t="s">
        <v>33</v>
      </c>
      <c r="F11" s="6" t="s">
        <v>79</v>
      </c>
      <c r="G11" s="2" t="s">
        <v>114</v>
      </c>
      <c r="H11" s="2" t="s">
        <v>115</v>
      </c>
      <c r="I11" s="2" t="s">
        <v>116</v>
      </c>
      <c r="J11" s="2" t="s">
        <v>117</v>
      </c>
      <c r="K11" s="2" t="s">
        <v>118</v>
      </c>
      <c r="L11" s="4" t="s">
        <v>57</v>
      </c>
      <c r="M11" s="4"/>
      <c r="N11" s="2" t="s">
        <v>119</v>
      </c>
      <c r="O11" s="2" t="s">
        <v>42</v>
      </c>
    </row>
    <row r="12" customFormat="false" ht="46.25" hidden="false" customHeight="false" outlineLevel="0" collapsed="false">
      <c r="A12" s="2" t="s">
        <v>120</v>
      </c>
      <c r="B12" s="2" t="n">
        <v>2021</v>
      </c>
      <c r="C12" s="4" t="s">
        <v>121</v>
      </c>
      <c r="D12" s="4" t="s">
        <v>122</v>
      </c>
      <c r="E12" s="4" t="s">
        <v>33</v>
      </c>
      <c r="F12" s="6" t="s">
        <v>79</v>
      </c>
      <c r="G12" s="2" t="s">
        <v>35</v>
      </c>
      <c r="H12" s="2" t="s">
        <v>123</v>
      </c>
      <c r="I12" s="2" t="s">
        <v>124</v>
      </c>
      <c r="J12" s="2" t="s">
        <v>125</v>
      </c>
      <c r="K12" s="2" t="s">
        <v>126</v>
      </c>
      <c r="L12" s="4" t="s">
        <v>40</v>
      </c>
      <c r="M12" s="4"/>
      <c r="N12" s="2" t="s">
        <v>127</v>
      </c>
      <c r="O12" s="2" t="s">
        <v>42</v>
      </c>
    </row>
    <row r="13" customFormat="false" ht="23.85" hidden="false" customHeight="false" outlineLevel="0" collapsed="false">
      <c r="A13" s="2" t="s">
        <v>128</v>
      </c>
      <c r="B13" s="2" t="n">
        <v>2020</v>
      </c>
      <c r="C13" s="4" t="s">
        <v>129</v>
      </c>
      <c r="D13" s="4" t="s">
        <v>130</v>
      </c>
      <c r="E13" s="4" t="s">
        <v>33</v>
      </c>
      <c r="F13" s="7" t="s">
        <v>131</v>
      </c>
      <c r="G13" s="2" t="s">
        <v>132</v>
      </c>
      <c r="H13" s="2"/>
      <c r="I13" s="2" t="s">
        <v>133</v>
      </c>
      <c r="J13" s="2" t="s">
        <v>134</v>
      </c>
      <c r="K13" s="2"/>
      <c r="L13" s="4" t="s">
        <v>57</v>
      </c>
      <c r="M13" s="4"/>
      <c r="N13" s="2" t="s">
        <v>135</v>
      </c>
      <c r="O13" s="2" t="s">
        <v>42</v>
      </c>
    </row>
    <row r="14" customFormat="false" ht="23.85" hidden="false" customHeight="false" outlineLevel="0" collapsed="false">
      <c r="A14" s="2" t="s">
        <v>136</v>
      </c>
      <c r="B14" s="2" t="n">
        <v>2020</v>
      </c>
      <c r="C14" s="4" t="s">
        <v>129</v>
      </c>
      <c r="D14" s="4" t="s">
        <v>137</v>
      </c>
      <c r="E14" s="4" t="s">
        <v>33</v>
      </c>
      <c r="F14" s="7" t="s">
        <v>131</v>
      </c>
      <c r="G14" s="2" t="s">
        <v>132</v>
      </c>
      <c r="H14" s="2"/>
      <c r="I14" s="2" t="s">
        <v>138</v>
      </c>
      <c r="J14" s="2" t="s">
        <v>134</v>
      </c>
      <c r="K14" s="2"/>
      <c r="L14" s="4" t="s">
        <v>40</v>
      </c>
      <c r="M14" s="4"/>
      <c r="N14" s="2" t="s">
        <v>139</v>
      </c>
      <c r="O14" s="2" t="s">
        <v>42</v>
      </c>
    </row>
    <row r="15" customFormat="false" ht="23.85" hidden="false" customHeight="false" outlineLevel="0" collapsed="false">
      <c r="A15" s="2" t="s">
        <v>136</v>
      </c>
      <c r="B15" s="2" t="n">
        <v>2020</v>
      </c>
      <c r="C15" s="4" t="s">
        <v>129</v>
      </c>
      <c r="D15" s="4" t="s">
        <v>140</v>
      </c>
      <c r="E15" s="4" t="s">
        <v>33</v>
      </c>
      <c r="F15" s="7" t="s">
        <v>131</v>
      </c>
      <c r="G15" s="2" t="s">
        <v>132</v>
      </c>
      <c r="H15" s="2"/>
      <c r="I15" s="2" t="s">
        <v>141</v>
      </c>
      <c r="J15" s="2" t="s">
        <v>134</v>
      </c>
      <c r="K15" s="2"/>
      <c r="L15" s="4" t="s">
        <v>40</v>
      </c>
      <c r="M15" s="4" t="s">
        <v>137</v>
      </c>
      <c r="N15" s="2" t="s">
        <v>142</v>
      </c>
      <c r="O15" s="2" t="s">
        <v>42</v>
      </c>
    </row>
    <row r="16" customFormat="false" ht="23.85" hidden="false" customHeight="false" outlineLevel="0" collapsed="false">
      <c r="A16" s="2" t="s">
        <v>128</v>
      </c>
      <c r="B16" s="2" t="n">
        <v>2020</v>
      </c>
      <c r="C16" s="4" t="s">
        <v>129</v>
      </c>
      <c r="D16" s="4" t="s">
        <v>143</v>
      </c>
      <c r="E16" s="4" t="s">
        <v>33</v>
      </c>
      <c r="F16" s="7" t="s">
        <v>131</v>
      </c>
      <c r="G16" s="2" t="s">
        <v>132</v>
      </c>
      <c r="H16" s="2"/>
      <c r="I16" s="2" t="s">
        <v>144</v>
      </c>
      <c r="J16" s="2" t="s">
        <v>134</v>
      </c>
      <c r="K16" s="2"/>
      <c r="L16" s="4" t="s">
        <v>57</v>
      </c>
      <c r="M16" s="4" t="s">
        <v>130</v>
      </c>
      <c r="N16" s="2" t="s">
        <v>145</v>
      </c>
      <c r="O16" s="2" t="s">
        <v>42</v>
      </c>
    </row>
    <row r="17" customFormat="false" ht="35.05" hidden="false" customHeight="false" outlineLevel="0" collapsed="false">
      <c r="A17" s="2" t="s">
        <v>146</v>
      </c>
      <c r="B17" s="2" t="n">
        <v>2019</v>
      </c>
      <c r="C17" s="4" t="s">
        <v>147</v>
      </c>
      <c r="D17" s="4" t="s">
        <v>148</v>
      </c>
      <c r="E17" s="4" t="s">
        <v>33</v>
      </c>
      <c r="F17" s="7" t="s">
        <v>131</v>
      </c>
      <c r="G17" s="2" t="s">
        <v>132</v>
      </c>
      <c r="H17" s="2" t="s">
        <v>149</v>
      </c>
      <c r="I17" s="2" t="s">
        <v>150</v>
      </c>
      <c r="J17" s="2" t="s">
        <v>151</v>
      </c>
      <c r="K17" s="2"/>
      <c r="L17" s="4" t="s">
        <v>40</v>
      </c>
      <c r="M17" s="4"/>
      <c r="N17" s="2" t="s">
        <v>152</v>
      </c>
      <c r="O17" s="2" t="s">
        <v>42</v>
      </c>
    </row>
    <row r="18" customFormat="false" ht="23.85" hidden="false" customHeight="false" outlineLevel="0" collapsed="false">
      <c r="A18" s="2" t="s">
        <v>153</v>
      </c>
      <c r="B18" s="2" t="n">
        <v>2019</v>
      </c>
      <c r="C18" s="4" t="s">
        <v>154</v>
      </c>
      <c r="D18" s="4" t="s">
        <v>155</v>
      </c>
      <c r="E18" s="4" t="s">
        <v>33</v>
      </c>
      <c r="F18" s="7" t="s">
        <v>131</v>
      </c>
      <c r="G18" s="2" t="s">
        <v>132</v>
      </c>
      <c r="H18" s="2"/>
      <c r="I18" s="2" t="s">
        <v>156</v>
      </c>
      <c r="J18" s="2" t="s">
        <v>134</v>
      </c>
      <c r="K18" s="2"/>
      <c r="L18" s="4" t="s">
        <v>40</v>
      </c>
      <c r="M18" s="4"/>
      <c r="N18" s="2" t="s">
        <v>139</v>
      </c>
      <c r="O18" s="2" t="s">
        <v>42</v>
      </c>
    </row>
    <row r="19" customFormat="false" ht="23.85" hidden="false" customHeight="false" outlineLevel="0" collapsed="false">
      <c r="A19" s="2" t="s">
        <v>153</v>
      </c>
      <c r="B19" s="2" t="n">
        <v>2019</v>
      </c>
      <c r="C19" s="4" t="s">
        <v>154</v>
      </c>
      <c r="D19" s="4" t="s">
        <v>157</v>
      </c>
      <c r="E19" s="4" t="s">
        <v>33</v>
      </c>
      <c r="F19" s="7" t="s">
        <v>131</v>
      </c>
      <c r="G19" s="2" t="s">
        <v>132</v>
      </c>
      <c r="H19" s="2"/>
      <c r="I19" s="2" t="s">
        <v>158</v>
      </c>
      <c r="J19" s="2" t="s">
        <v>134</v>
      </c>
      <c r="K19" s="2"/>
      <c r="L19" s="4" t="s">
        <v>40</v>
      </c>
      <c r="M19" s="4" t="s">
        <v>155</v>
      </c>
      <c r="N19" s="2" t="s">
        <v>159</v>
      </c>
      <c r="O19" s="2" t="s">
        <v>42</v>
      </c>
    </row>
    <row r="20" customFormat="false" ht="23.85" hidden="false" customHeight="false" outlineLevel="0" collapsed="false">
      <c r="A20" s="2" t="s">
        <v>160</v>
      </c>
      <c r="B20" s="2" t="n">
        <v>2019</v>
      </c>
      <c r="C20" s="4" t="s">
        <v>147</v>
      </c>
      <c r="D20" s="4" t="s">
        <v>161</v>
      </c>
      <c r="E20" s="4" t="s">
        <v>33</v>
      </c>
      <c r="F20" s="7" t="s">
        <v>131</v>
      </c>
      <c r="G20" s="2" t="s">
        <v>132</v>
      </c>
      <c r="H20" s="2"/>
      <c r="I20" s="2" t="s">
        <v>162</v>
      </c>
      <c r="J20" s="2" t="s">
        <v>134</v>
      </c>
      <c r="K20" s="2"/>
      <c r="L20" s="4" t="s">
        <v>40</v>
      </c>
      <c r="M20" s="4" t="s">
        <v>163</v>
      </c>
      <c r="N20" s="2" t="s">
        <v>164</v>
      </c>
      <c r="O20" s="2" t="s">
        <v>42</v>
      </c>
    </row>
    <row r="21" customFormat="false" ht="35.05" hidden="false" customHeight="false" outlineLevel="0" collapsed="false">
      <c r="A21" s="2" t="s">
        <v>165</v>
      </c>
      <c r="B21" s="2" t="n">
        <v>2026</v>
      </c>
      <c r="C21" s="4" t="s">
        <v>60</v>
      </c>
      <c r="D21" s="4" t="s">
        <v>166</v>
      </c>
      <c r="E21" s="4" t="s">
        <v>33</v>
      </c>
      <c r="F21" s="8" t="s">
        <v>167</v>
      </c>
      <c r="G21" s="2" t="s">
        <v>168</v>
      </c>
      <c r="H21" s="2" t="s">
        <v>169</v>
      </c>
      <c r="I21" s="2" t="s">
        <v>170</v>
      </c>
      <c r="J21" s="2"/>
      <c r="K21" s="2" t="s">
        <v>100</v>
      </c>
      <c r="L21" s="4" t="s">
        <v>57</v>
      </c>
      <c r="M21" s="4"/>
      <c r="N21" s="2" t="s">
        <v>171</v>
      </c>
      <c r="O21" s="2" t="s">
        <v>42</v>
      </c>
    </row>
    <row r="22" customFormat="false" ht="35.05" hidden="false" customHeight="false" outlineLevel="0" collapsed="false">
      <c r="A22" s="2" t="s">
        <v>172</v>
      </c>
      <c r="B22" s="2" t="n">
        <v>2026</v>
      </c>
      <c r="C22" s="4" t="s">
        <v>60</v>
      </c>
      <c r="D22" s="4" t="s">
        <v>173</v>
      </c>
      <c r="E22" s="4" t="s">
        <v>33</v>
      </c>
      <c r="F22" s="8" t="s">
        <v>167</v>
      </c>
      <c r="G22" s="2" t="s">
        <v>174</v>
      </c>
      <c r="H22" s="2" t="s">
        <v>169</v>
      </c>
      <c r="I22" s="2" t="s">
        <v>175</v>
      </c>
      <c r="J22" s="2"/>
      <c r="K22" s="2" t="s">
        <v>176</v>
      </c>
      <c r="L22" s="4" t="s">
        <v>57</v>
      </c>
      <c r="M22" s="4"/>
      <c r="N22" s="2" t="s">
        <v>177</v>
      </c>
      <c r="O22" s="2" t="s">
        <v>42</v>
      </c>
    </row>
    <row r="23" customFormat="false" ht="23.85" hidden="false" customHeight="false" outlineLevel="0" collapsed="false">
      <c r="A23" s="2" t="s">
        <v>178</v>
      </c>
      <c r="B23" s="2" t="n">
        <v>2025</v>
      </c>
      <c r="C23" s="4" t="s">
        <v>179</v>
      </c>
      <c r="D23" s="4" t="s">
        <v>180</v>
      </c>
      <c r="E23" s="4" t="s">
        <v>33</v>
      </c>
      <c r="F23" s="8" t="s">
        <v>167</v>
      </c>
      <c r="G23" s="2" t="s">
        <v>181</v>
      </c>
      <c r="H23" s="2" t="s">
        <v>182</v>
      </c>
      <c r="I23" s="2" t="s">
        <v>183</v>
      </c>
      <c r="J23" s="2"/>
      <c r="K23" s="2" t="s">
        <v>100</v>
      </c>
      <c r="L23" s="4" t="s">
        <v>57</v>
      </c>
      <c r="M23" s="4"/>
      <c r="N23" s="2" t="s">
        <v>184</v>
      </c>
      <c r="O23" s="2" t="s">
        <v>42</v>
      </c>
    </row>
    <row r="24" customFormat="false" ht="35.05" hidden="false" customHeight="false" outlineLevel="0" collapsed="false">
      <c r="A24" s="2" t="s">
        <v>185</v>
      </c>
      <c r="B24" s="2" t="n">
        <v>2025</v>
      </c>
      <c r="C24" s="4" t="s">
        <v>60</v>
      </c>
      <c r="D24" s="4" t="s">
        <v>186</v>
      </c>
      <c r="E24" s="4" t="s">
        <v>33</v>
      </c>
      <c r="F24" s="8" t="s">
        <v>167</v>
      </c>
      <c r="G24" s="2" t="s">
        <v>187</v>
      </c>
      <c r="H24" s="2" t="s">
        <v>188</v>
      </c>
      <c r="I24" s="2" t="s">
        <v>189</v>
      </c>
      <c r="J24" s="2"/>
      <c r="K24" s="2" t="s">
        <v>100</v>
      </c>
      <c r="L24" s="4" t="s">
        <v>57</v>
      </c>
      <c r="M24" s="4"/>
      <c r="N24" s="2" t="s">
        <v>190</v>
      </c>
      <c r="O24" s="2" t="s">
        <v>42</v>
      </c>
    </row>
    <row r="25" customFormat="false" ht="46.25" hidden="false" customHeight="false" outlineLevel="0" collapsed="false">
      <c r="A25" s="2" t="s">
        <v>191</v>
      </c>
      <c r="B25" s="2" t="n">
        <v>2023</v>
      </c>
      <c r="C25" s="4" t="s">
        <v>192</v>
      </c>
      <c r="D25" s="4" t="s">
        <v>193</v>
      </c>
      <c r="E25" s="4" t="s">
        <v>33</v>
      </c>
      <c r="F25" s="8" t="s">
        <v>167</v>
      </c>
      <c r="G25" s="2" t="s">
        <v>194</v>
      </c>
      <c r="H25" s="2" t="s">
        <v>195</v>
      </c>
      <c r="I25" s="2" t="s">
        <v>196</v>
      </c>
      <c r="J25" s="2"/>
      <c r="K25" s="2" t="s">
        <v>197</v>
      </c>
      <c r="L25" s="4" t="s">
        <v>57</v>
      </c>
      <c r="M25" s="4"/>
      <c r="N25" s="2" t="s">
        <v>198</v>
      </c>
      <c r="O25" s="2" t="s">
        <v>42</v>
      </c>
    </row>
    <row r="26" customFormat="false" ht="23.85" hidden="false" customHeight="false" outlineLevel="0" collapsed="false">
      <c r="A26" s="2" t="s">
        <v>199</v>
      </c>
      <c r="B26" s="2" t="n">
        <v>2026</v>
      </c>
      <c r="C26" s="4" t="s">
        <v>179</v>
      </c>
      <c r="D26" s="4" t="s">
        <v>200</v>
      </c>
      <c r="E26" s="4" t="s">
        <v>33</v>
      </c>
      <c r="F26" s="9" t="s">
        <v>201</v>
      </c>
      <c r="G26" s="2" t="s">
        <v>202</v>
      </c>
      <c r="H26" s="2" t="s">
        <v>182</v>
      </c>
      <c r="I26" s="2" t="s">
        <v>203</v>
      </c>
      <c r="J26" s="2"/>
      <c r="K26" s="2" t="s">
        <v>100</v>
      </c>
      <c r="L26" s="4" t="s">
        <v>57</v>
      </c>
      <c r="M26" s="4"/>
      <c r="N26" s="2" t="s">
        <v>204</v>
      </c>
      <c r="O26" s="2" t="s">
        <v>42</v>
      </c>
    </row>
    <row r="27" customFormat="false" ht="23.85" hidden="false" customHeight="false" outlineLevel="0" collapsed="false">
      <c r="A27" s="2" t="s">
        <v>205</v>
      </c>
      <c r="B27" s="2" t="n">
        <v>2026</v>
      </c>
      <c r="C27" s="4" t="s">
        <v>206</v>
      </c>
      <c r="D27" s="4" t="s">
        <v>207</v>
      </c>
      <c r="E27" s="4" t="s">
        <v>33</v>
      </c>
      <c r="F27" s="9" t="s">
        <v>201</v>
      </c>
      <c r="G27" s="2" t="s">
        <v>202</v>
      </c>
      <c r="H27" s="2" t="s">
        <v>204</v>
      </c>
      <c r="I27" s="2" t="s">
        <v>208</v>
      </c>
      <c r="J27" s="2"/>
      <c r="K27" s="2" t="s">
        <v>204</v>
      </c>
      <c r="L27" s="4" t="s">
        <v>40</v>
      </c>
      <c r="M27" s="4"/>
      <c r="N27" s="2" t="s">
        <v>209</v>
      </c>
      <c r="O27" s="2" t="s">
        <v>42</v>
      </c>
    </row>
    <row r="28" customFormat="false" ht="23.85" hidden="false" customHeight="false" outlineLevel="0" collapsed="false">
      <c r="A28" s="2" t="s">
        <v>210</v>
      </c>
      <c r="B28" s="2" t="n">
        <v>2025</v>
      </c>
      <c r="C28" s="4" t="s">
        <v>211</v>
      </c>
      <c r="D28" s="4" t="s">
        <v>212</v>
      </c>
      <c r="E28" s="4" t="s">
        <v>33</v>
      </c>
      <c r="F28" s="9" t="s">
        <v>201</v>
      </c>
      <c r="G28" s="2" t="s">
        <v>202</v>
      </c>
      <c r="H28" s="2" t="s">
        <v>182</v>
      </c>
      <c r="I28" s="2" t="s">
        <v>203</v>
      </c>
      <c r="J28" s="2"/>
      <c r="K28" s="2" t="s">
        <v>100</v>
      </c>
      <c r="L28" s="4" t="s">
        <v>57</v>
      </c>
      <c r="M28" s="4"/>
      <c r="N28" s="2" t="s">
        <v>204</v>
      </c>
      <c r="O28" s="2" t="s">
        <v>42</v>
      </c>
    </row>
    <row r="29" customFormat="false" ht="23.85" hidden="false" customHeight="false" outlineLevel="0" collapsed="false">
      <c r="A29" s="2" t="s">
        <v>213</v>
      </c>
      <c r="B29" s="2" t="n">
        <v>2025</v>
      </c>
      <c r="C29" s="4" t="s">
        <v>211</v>
      </c>
      <c r="D29" s="4" t="s">
        <v>214</v>
      </c>
      <c r="E29" s="4" t="s">
        <v>33</v>
      </c>
      <c r="F29" s="9" t="s">
        <v>201</v>
      </c>
      <c r="G29" s="2" t="s">
        <v>202</v>
      </c>
      <c r="H29" s="2" t="s">
        <v>182</v>
      </c>
      <c r="I29" s="2" t="s">
        <v>203</v>
      </c>
      <c r="J29" s="2"/>
      <c r="K29" s="2" t="s">
        <v>100</v>
      </c>
      <c r="L29" s="4" t="s">
        <v>57</v>
      </c>
      <c r="M29" s="4"/>
      <c r="N29" s="2" t="s">
        <v>204</v>
      </c>
      <c r="O29" s="2" t="s">
        <v>42</v>
      </c>
    </row>
    <row r="30" customFormat="false" ht="23.85" hidden="false" customHeight="false" outlineLevel="0" collapsed="false">
      <c r="A30" s="2" t="s">
        <v>215</v>
      </c>
      <c r="B30" s="2" t="n">
        <v>2025</v>
      </c>
      <c r="C30" s="4" t="s">
        <v>211</v>
      </c>
      <c r="D30" s="4" t="s">
        <v>216</v>
      </c>
      <c r="E30" s="4" t="s">
        <v>33</v>
      </c>
      <c r="F30" s="9" t="s">
        <v>201</v>
      </c>
      <c r="G30" s="2" t="s">
        <v>202</v>
      </c>
      <c r="H30" s="2" t="s">
        <v>182</v>
      </c>
      <c r="I30" s="2" t="s">
        <v>203</v>
      </c>
      <c r="J30" s="2"/>
      <c r="K30" s="2" t="s">
        <v>100</v>
      </c>
      <c r="L30" s="4" t="s">
        <v>57</v>
      </c>
      <c r="M30" s="4"/>
      <c r="N30" s="2" t="s">
        <v>204</v>
      </c>
      <c r="O30" s="2" t="s">
        <v>42</v>
      </c>
    </row>
    <row r="31" customFormat="false" ht="23.85" hidden="false" customHeight="false" outlineLevel="0" collapsed="false">
      <c r="A31" s="2" t="s">
        <v>217</v>
      </c>
      <c r="B31" s="2" t="n">
        <v>2025</v>
      </c>
      <c r="C31" s="4" t="s">
        <v>211</v>
      </c>
      <c r="D31" s="4" t="s">
        <v>218</v>
      </c>
      <c r="E31" s="4" t="s">
        <v>33</v>
      </c>
      <c r="F31" s="9" t="s">
        <v>201</v>
      </c>
      <c r="G31" s="2" t="s">
        <v>202</v>
      </c>
      <c r="H31" s="2" t="s">
        <v>182</v>
      </c>
      <c r="I31" s="2" t="s">
        <v>203</v>
      </c>
      <c r="J31" s="2"/>
      <c r="K31" s="2" t="s">
        <v>100</v>
      </c>
      <c r="L31" s="4" t="s">
        <v>57</v>
      </c>
      <c r="M31" s="4"/>
      <c r="N31" s="2" t="s">
        <v>204</v>
      </c>
      <c r="O31" s="2" t="s">
        <v>42</v>
      </c>
    </row>
    <row r="32" customFormat="false" ht="23.85" hidden="false" customHeight="false" outlineLevel="0" collapsed="false">
      <c r="A32" s="2" t="s">
        <v>219</v>
      </c>
      <c r="B32" s="2" t="n">
        <v>2025</v>
      </c>
      <c r="C32" s="4" t="s">
        <v>211</v>
      </c>
      <c r="D32" s="4" t="s">
        <v>220</v>
      </c>
      <c r="E32" s="4" t="s">
        <v>33</v>
      </c>
      <c r="F32" s="9" t="s">
        <v>201</v>
      </c>
      <c r="G32" s="2" t="s">
        <v>202</v>
      </c>
      <c r="H32" s="2" t="s">
        <v>182</v>
      </c>
      <c r="I32" s="2" t="s">
        <v>203</v>
      </c>
      <c r="J32" s="2"/>
      <c r="K32" s="2" t="s">
        <v>100</v>
      </c>
      <c r="L32" s="4" t="s">
        <v>57</v>
      </c>
      <c r="M32" s="4"/>
      <c r="N32" s="2" t="s">
        <v>204</v>
      </c>
      <c r="O32" s="2" t="s">
        <v>42</v>
      </c>
    </row>
    <row r="33" customFormat="false" ht="23.85" hidden="false" customHeight="false" outlineLevel="0" collapsed="false">
      <c r="A33" s="2" t="s">
        <v>213</v>
      </c>
      <c r="B33" s="2" t="n">
        <v>2025</v>
      </c>
      <c r="C33" s="4" t="s">
        <v>211</v>
      </c>
      <c r="D33" s="4" t="s">
        <v>221</v>
      </c>
      <c r="E33" s="4" t="s">
        <v>33</v>
      </c>
      <c r="F33" s="9" t="s">
        <v>201</v>
      </c>
      <c r="G33" s="2" t="s">
        <v>202</v>
      </c>
      <c r="H33" s="2" t="s">
        <v>182</v>
      </c>
      <c r="I33" s="2" t="s">
        <v>203</v>
      </c>
      <c r="J33" s="2"/>
      <c r="K33" s="2" t="s">
        <v>100</v>
      </c>
      <c r="L33" s="4" t="s">
        <v>57</v>
      </c>
      <c r="M33" s="4" t="s">
        <v>214</v>
      </c>
      <c r="N33" s="2" t="s">
        <v>222</v>
      </c>
      <c r="O33" s="2" t="s">
        <v>42</v>
      </c>
    </row>
    <row r="34" customFormat="false" ht="23.85" hidden="false" customHeight="false" outlineLevel="0" collapsed="false">
      <c r="A34" s="2" t="s">
        <v>223</v>
      </c>
      <c r="B34" s="2" t="n">
        <v>2025</v>
      </c>
      <c r="C34" s="4" t="s">
        <v>211</v>
      </c>
      <c r="D34" s="4" t="s">
        <v>224</v>
      </c>
      <c r="E34" s="4" t="s">
        <v>33</v>
      </c>
      <c r="F34" s="9" t="s">
        <v>201</v>
      </c>
      <c r="G34" s="2" t="s">
        <v>202</v>
      </c>
      <c r="H34" s="2" t="s">
        <v>182</v>
      </c>
      <c r="I34" s="2" t="s">
        <v>203</v>
      </c>
      <c r="J34" s="2"/>
      <c r="K34" s="2" t="s">
        <v>100</v>
      </c>
      <c r="L34" s="4" t="s">
        <v>57</v>
      </c>
      <c r="M34" s="4"/>
      <c r="N34" s="2" t="s">
        <v>204</v>
      </c>
      <c r="O34" s="2" t="s">
        <v>42</v>
      </c>
    </row>
    <row r="35" customFormat="false" ht="23.85" hidden="false" customHeight="false" outlineLevel="0" collapsed="false">
      <c r="A35" s="2" t="s">
        <v>225</v>
      </c>
      <c r="B35" s="2" t="n">
        <v>2025</v>
      </c>
      <c r="C35" s="4" t="s">
        <v>211</v>
      </c>
      <c r="D35" s="4" t="s">
        <v>226</v>
      </c>
      <c r="E35" s="4" t="s">
        <v>33</v>
      </c>
      <c r="F35" s="9" t="s">
        <v>201</v>
      </c>
      <c r="G35" s="2" t="s">
        <v>202</v>
      </c>
      <c r="H35" s="2" t="s">
        <v>182</v>
      </c>
      <c r="I35" s="2" t="s">
        <v>203</v>
      </c>
      <c r="J35" s="2"/>
      <c r="K35" s="2" t="s">
        <v>100</v>
      </c>
      <c r="L35" s="4" t="s">
        <v>57</v>
      </c>
      <c r="M35" s="4"/>
      <c r="N35" s="2" t="s">
        <v>204</v>
      </c>
      <c r="O35" s="2" t="s">
        <v>42</v>
      </c>
    </row>
    <row r="36" customFormat="false" ht="35.05" hidden="false" customHeight="false" outlineLevel="0" collapsed="false">
      <c r="A36" s="2" t="s">
        <v>227</v>
      </c>
      <c r="B36" s="2" t="n">
        <v>2025</v>
      </c>
      <c r="C36" s="4" t="s">
        <v>228</v>
      </c>
      <c r="D36" s="4" t="s">
        <v>229</v>
      </c>
      <c r="E36" s="4" t="s">
        <v>33</v>
      </c>
      <c r="F36" s="9" t="s">
        <v>201</v>
      </c>
      <c r="G36" s="2" t="s">
        <v>202</v>
      </c>
      <c r="H36" s="2" t="s">
        <v>204</v>
      </c>
      <c r="I36" s="2" t="s">
        <v>230</v>
      </c>
      <c r="J36" s="2"/>
      <c r="K36" s="2" t="s">
        <v>204</v>
      </c>
      <c r="L36" s="4" t="s">
        <v>57</v>
      </c>
      <c r="M36" s="4"/>
      <c r="N36" s="2" t="s">
        <v>209</v>
      </c>
      <c r="O36" s="2" t="s">
        <v>42</v>
      </c>
    </row>
    <row r="37" customFormat="false" ht="23.85" hidden="false" customHeight="false" outlineLevel="0" collapsed="false">
      <c r="A37" s="2" t="s">
        <v>231</v>
      </c>
      <c r="B37" s="2" t="n">
        <v>2024</v>
      </c>
      <c r="C37" s="4" t="s">
        <v>232</v>
      </c>
      <c r="D37" s="4" t="s">
        <v>233</v>
      </c>
      <c r="E37" s="4" t="s">
        <v>234</v>
      </c>
      <c r="F37" s="9" t="s">
        <v>201</v>
      </c>
      <c r="G37" s="2" t="s">
        <v>202</v>
      </c>
      <c r="H37" s="2" t="s">
        <v>204</v>
      </c>
      <c r="I37" s="2" t="s">
        <v>235</v>
      </c>
      <c r="J37" s="2"/>
      <c r="K37" s="2" t="s">
        <v>204</v>
      </c>
      <c r="L37" s="4"/>
      <c r="M37" s="4"/>
      <c r="N37" s="2" t="s">
        <v>236</v>
      </c>
      <c r="O37" s="2" t="s">
        <v>42</v>
      </c>
    </row>
    <row r="38" customFormat="false" ht="23.85" hidden="false" customHeight="false" outlineLevel="0" collapsed="false">
      <c r="A38" s="2" t="s">
        <v>237</v>
      </c>
      <c r="B38" s="2" t="n">
        <v>2023</v>
      </c>
      <c r="C38" s="4" t="s">
        <v>179</v>
      </c>
      <c r="D38" s="4" t="s">
        <v>238</v>
      </c>
      <c r="E38" s="4" t="s">
        <v>33</v>
      </c>
      <c r="F38" s="9" t="s">
        <v>201</v>
      </c>
      <c r="G38" s="2" t="s">
        <v>202</v>
      </c>
      <c r="H38" s="2" t="s">
        <v>204</v>
      </c>
      <c r="I38" s="2" t="s">
        <v>239</v>
      </c>
      <c r="J38" s="2"/>
      <c r="K38" s="2" t="s">
        <v>204</v>
      </c>
      <c r="L38" s="4" t="s">
        <v>40</v>
      </c>
      <c r="M38" s="4"/>
      <c r="N38" s="2" t="s">
        <v>209</v>
      </c>
      <c r="O38" s="2" t="s">
        <v>42</v>
      </c>
    </row>
    <row r="39" customFormat="false" ht="23.85" hidden="false" customHeight="false" outlineLevel="0" collapsed="false">
      <c r="A39" s="2" t="s">
        <v>240</v>
      </c>
      <c r="B39" s="2" t="n">
        <v>2023</v>
      </c>
      <c r="C39" s="4" t="s">
        <v>179</v>
      </c>
      <c r="D39" s="4" t="s">
        <v>241</v>
      </c>
      <c r="E39" s="4" t="s">
        <v>33</v>
      </c>
      <c r="F39" s="9" t="s">
        <v>201</v>
      </c>
      <c r="G39" s="2" t="s">
        <v>202</v>
      </c>
      <c r="H39" s="2" t="s">
        <v>204</v>
      </c>
      <c r="I39" s="2" t="s">
        <v>242</v>
      </c>
      <c r="J39" s="2"/>
      <c r="K39" s="2" t="s">
        <v>204</v>
      </c>
      <c r="L39" s="4" t="s">
        <v>40</v>
      </c>
      <c r="M39" s="4"/>
      <c r="N39" s="2" t="s">
        <v>209</v>
      </c>
      <c r="O39" s="2" t="s">
        <v>42</v>
      </c>
    </row>
    <row r="40" customFormat="false" ht="46.25" hidden="false" customHeight="false" outlineLevel="0" collapsed="false">
      <c r="A40" s="2" t="s">
        <v>243</v>
      </c>
      <c r="B40" s="2" t="n">
        <v>2023</v>
      </c>
      <c r="C40" s="4" t="s">
        <v>244</v>
      </c>
      <c r="D40" s="4" t="s">
        <v>245</v>
      </c>
      <c r="E40" s="4" t="s">
        <v>33</v>
      </c>
      <c r="F40" s="9" t="s">
        <v>201</v>
      </c>
      <c r="G40" s="2" t="s">
        <v>202</v>
      </c>
      <c r="H40" s="2" t="s">
        <v>204</v>
      </c>
      <c r="I40" s="2" t="s">
        <v>246</v>
      </c>
      <c r="J40" s="2"/>
      <c r="K40" s="2" t="s">
        <v>204</v>
      </c>
      <c r="L40" s="4" t="s">
        <v>40</v>
      </c>
      <c r="M40" s="4"/>
      <c r="N40" s="2" t="s">
        <v>209</v>
      </c>
      <c r="O40" s="2" t="s">
        <v>42</v>
      </c>
    </row>
    <row r="41" customFormat="false" ht="23.85" hidden="false" customHeight="false" outlineLevel="0" collapsed="false">
      <c r="A41" s="2" t="s">
        <v>247</v>
      </c>
      <c r="B41" s="2" t="n">
        <v>2023</v>
      </c>
      <c r="C41" s="4" t="s">
        <v>248</v>
      </c>
      <c r="D41" s="4" t="s">
        <v>249</v>
      </c>
      <c r="E41" s="4" t="s">
        <v>33</v>
      </c>
      <c r="F41" s="9" t="s">
        <v>201</v>
      </c>
      <c r="G41" s="2" t="s">
        <v>202</v>
      </c>
      <c r="H41" s="2" t="s">
        <v>204</v>
      </c>
      <c r="I41" s="2" t="s">
        <v>250</v>
      </c>
      <c r="J41" s="2"/>
      <c r="K41" s="2" t="s">
        <v>204</v>
      </c>
      <c r="L41" s="4" t="s">
        <v>57</v>
      </c>
      <c r="M41" s="4"/>
      <c r="N41" s="2" t="s">
        <v>209</v>
      </c>
      <c r="O41" s="2" t="s">
        <v>42</v>
      </c>
    </row>
    <row r="42" customFormat="false" ht="35.05" hidden="false" customHeight="false" outlineLevel="0" collapsed="false">
      <c r="A42" s="2" t="s">
        <v>251</v>
      </c>
      <c r="B42" s="2" t="n">
        <v>2023</v>
      </c>
      <c r="C42" s="4" t="s">
        <v>248</v>
      </c>
      <c r="D42" s="4" t="s">
        <v>252</v>
      </c>
      <c r="E42" s="4" t="s">
        <v>33</v>
      </c>
      <c r="F42" s="9" t="s">
        <v>201</v>
      </c>
      <c r="G42" s="2" t="s">
        <v>202</v>
      </c>
      <c r="H42" s="2" t="s">
        <v>204</v>
      </c>
      <c r="I42" s="2" t="s">
        <v>253</v>
      </c>
      <c r="J42" s="2"/>
      <c r="K42" s="2" t="s">
        <v>204</v>
      </c>
      <c r="L42" s="4" t="s">
        <v>57</v>
      </c>
      <c r="M42" s="4"/>
      <c r="N42" s="2" t="s">
        <v>209</v>
      </c>
      <c r="O42" s="2" t="s">
        <v>42</v>
      </c>
    </row>
    <row r="43" customFormat="false" ht="23.85" hidden="false" customHeight="false" outlineLevel="0" collapsed="false">
      <c r="A43" s="2" t="s">
        <v>254</v>
      </c>
      <c r="B43" s="2" t="n">
        <v>2022</v>
      </c>
      <c r="C43" s="4"/>
      <c r="D43" s="4" t="s">
        <v>255</v>
      </c>
      <c r="E43" s="4" t="s">
        <v>256</v>
      </c>
      <c r="F43" s="9" t="s">
        <v>201</v>
      </c>
      <c r="G43" s="2" t="s">
        <v>202</v>
      </c>
      <c r="H43" s="2" t="s">
        <v>257</v>
      </c>
      <c r="I43" s="2" t="s">
        <v>258</v>
      </c>
      <c r="J43" s="2"/>
      <c r="K43" s="2" t="s">
        <v>259</v>
      </c>
      <c r="L43" s="4"/>
      <c r="M43" s="4"/>
      <c r="N43" s="2" t="s">
        <v>260</v>
      </c>
      <c r="O43" s="2" t="s">
        <v>42</v>
      </c>
    </row>
    <row r="44" customFormat="false" ht="23.85" hidden="false" customHeight="false" outlineLevel="0" collapsed="false">
      <c r="A44" s="2" t="s">
        <v>254</v>
      </c>
      <c r="B44" s="2" t="n">
        <v>2022</v>
      </c>
      <c r="C44" s="4"/>
      <c r="D44" s="4" t="s">
        <v>261</v>
      </c>
      <c r="E44" s="4" t="s">
        <v>256</v>
      </c>
      <c r="F44" s="9" t="s">
        <v>201</v>
      </c>
      <c r="G44" s="2" t="s">
        <v>202</v>
      </c>
      <c r="H44" s="2" t="s">
        <v>257</v>
      </c>
      <c r="I44" s="2" t="s">
        <v>258</v>
      </c>
      <c r="J44" s="2"/>
      <c r="K44" s="2" t="s">
        <v>259</v>
      </c>
      <c r="L44" s="4"/>
      <c r="M44" s="4"/>
      <c r="N44" s="2" t="s">
        <v>260</v>
      </c>
      <c r="O44" s="2" t="s">
        <v>42</v>
      </c>
    </row>
    <row r="45" customFormat="false" ht="23.85" hidden="false" customHeight="false" outlineLevel="0" collapsed="false">
      <c r="A45" s="2" t="s">
        <v>254</v>
      </c>
      <c r="B45" s="2" t="n">
        <v>2022</v>
      </c>
      <c r="C45" s="4"/>
      <c r="D45" s="4" t="s">
        <v>262</v>
      </c>
      <c r="E45" s="4" t="s">
        <v>256</v>
      </c>
      <c r="F45" s="9" t="s">
        <v>201</v>
      </c>
      <c r="G45" s="2" t="s">
        <v>202</v>
      </c>
      <c r="H45" s="2" t="s">
        <v>257</v>
      </c>
      <c r="I45" s="2" t="s">
        <v>258</v>
      </c>
      <c r="J45" s="2"/>
      <c r="K45" s="2" t="s">
        <v>259</v>
      </c>
      <c r="L45" s="4"/>
      <c r="M45" s="4"/>
      <c r="N45" s="2" t="s">
        <v>260</v>
      </c>
      <c r="O45" s="2" t="s">
        <v>42</v>
      </c>
    </row>
    <row r="46" customFormat="false" ht="46.25" hidden="false" customHeight="false" outlineLevel="0" collapsed="false">
      <c r="A46" s="2" t="s">
        <v>263</v>
      </c>
      <c r="B46" s="2" t="n">
        <v>2022</v>
      </c>
      <c r="C46" s="4" t="s">
        <v>264</v>
      </c>
      <c r="D46" s="4" t="s">
        <v>265</v>
      </c>
      <c r="E46" s="4" t="s">
        <v>33</v>
      </c>
      <c r="F46" s="9" t="s">
        <v>201</v>
      </c>
      <c r="G46" s="2" t="s">
        <v>202</v>
      </c>
      <c r="H46" s="2" t="s">
        <v>204</v>
      </c>
      <c r="I46" s="2" t="s">
        <v>266</v>
      </c>
      <c r="J46" s="2"/>
      <c r="K46" s="2" t="s">
        <v>204</v>
      </c>
      <c r="L46" s="4" t="s">
        <v>57</v>
      </c>
      <c r="M46" s="4"/>
      <c r="N46" s="2" t="s">
        <v>209</v>
      </c>
      <c r="O46" s="2" t="s">
        <v>42</v>
      </c>
    </row>
    <row r="47" customFormat="false" ht="46.25" hidden="false" customHeight="false" outlineLevel="0" collapsed="false">
      <c r="A47" s="2" t="s">
        <v>267</v>
      </c>
      <c r="B47" s="2" t="n">
        <v>2022</v>
      </c>
      <c r="C47" s="4" t="s">
        <v>268</v>
      </c>
      <c r="D47" s="4" t="s">
        <v>269</v>
      </c>
      <c r="E47" s="4" t="s">
        <v>33</v>
      </c>
      <c r="F47" s="9" t="s">
        <v>201</v>
      </c>
      <c r="G47" s="2" t="s">
        <v>202</v>
      </c>
      <c r="H47" s="2" t="s">
        <v>204</v>
      </c>
      <c r="I47" s="2" t="s">
        <v>270</v>
      </c>
      <c r="J47" s="2"/>
      <c r="K47" s="2" t="s">
        <v>204</v>
      </c>
      <c r="L47" s="4" t="s">
        <v>57</v>
      </c>
      <c r="M47" s="4"/>
      <c r="N47" s="2" t="s">
        <v>209</v>
      </c>
      <c r="O47" s="2" t="s">
        <v>42</v>
      </c>
    </row>
    <row r="48" customFormat="false" ht="23.85" hidden="false" customHeight="false" outlineLevel="0" collapsed="false">
      <c r="A48" s="2" t="s">
        <v>271</v>
      </c>
      <c r="B48" s="2" t="n">
        <v>2022</v>
      </c>
      <c r="C48" s="4" t="s">
        <v>272</v>
      </c>
      <c r="D48" s="4" t="s">
        <v>273</v>
      </c>
      <c r="E48" s="4" t="s">
        <v>33</v>
      </c>
      <c r="F48" s="9" t="s">
        <v>201</v>
      </c>
      <c r="G48" s="2" t="s">
        <v>202</v>
      </c>
      <c r="H48" s="2" t="s">
        <v>204</v>
      </c>
      <c r="I48" s="2" t="s">
        <v>274</v>
      </c>
      <c r="J48" s="2"/>
      <c r="K48" s="2" t="s">
        <v>204</v>
      </c>
      <c r="L48" s="4" t="s">
        <v>40</v>
      </c>
      <c r="M48" s="4"/>
      <c r="N48" s="2" t="s">
        <v>209</v>
      </c>
      <c r="O48" s="2" t="s">
        <v>42</v>
      </c>
    </row>
    <row r="49" customFormat="false" ht="23.85" hidden="false" customHeight="false" outlineLevel="0" collapsed="false">
      <c r="A49" s="2" t="s">
        <v>275</v>
      </c>
      <c r="B49" s="2" t="n">
        <v>2022</v>
      </c>
      <c r="C49" s="4" t="s">
        <v>276</v>
      </c>
      <c r="D49" s="4" t="s">
        <v>277</v>
      </c>
      <c r="E49" s="4" t="s">
        <v>33</v>
      </c>
      <c r="F49" s="9" t="s">
        <v>201</v>
      </c>
      <c r="G49" s="2" t="s">
        <v>202</v>
      </c>
      <c r="H49" s="2" t="s">
        <v>204</v>
      </c>
      <c r="I49" s="2" t="s">
        <v>278</v>
      </c>
      <c r="J49" s="2"/>
      <c r="K49" s="2" t="s">
        <v>204</v>
      </c>
      <c r="L49" s="4" t="s">
        <v>57</v>
      </c>
      <c r="M49" s="4"/>
      <c r="N49" s="2" t="s">
        <v>209</v>
      </c>
      <c r="O49" s="2" t="s">
        <v>42</v>
      </c>
    </row>
    <row r="50" customFormat="false" ht="46.25" hidden="false" customHeight="false" outlineLevel="0" collapsed="false">
      <c r="A50" s="2" t="s">
        <v>279</v>
      </c>
      <c r="B50" s="2" t="n">
        <v>2021</v>
      </c>
      <c r="C50" s="4" t="s">
        <v>280</v>
      </c>
      <c r="D50" s="4" t="s">
        <v>281</v>
      </c>
      <c r="E50" s="4" t="s">
        <v>33</v>
      </c>
      <c r="F50" s="9" t="s">
        <v>201</v>
      </c>
      <c r="G50" s="2" t="s">
        <v>202</v>
      </c>
      <c r="H50" s="2" t="s">
        <v>204</v>
      </c>
      <c r="I50" s="2" t="s">
        <v>282</v>
      </c>
      <c r="J50" s="2"/>
      <c r="K50" s="2" t="s">
        <v>204</v>
      </c>
      <c r="L50" s="4" t="s">
        <v>40</v>
      </c>
      <c r="M50" s="4"/>
      <c r="N50" s="2" t="s">
        <v>209</v>
      </c>
      <c r="O50" s="2" t="s">
        <v>42</v>
      </c>
    </row>
    <row r="51" customFormat="false" ht="23.85" hidden="false" customHeight="false" outlineLevel="0" collapsed="false">
      <c r="A51" s="2" t="s">
        <v>283</v>
      </c>
      <c r="B51" s="2" t="n">
        <v>2019</v>
      </c>
      <c r="C51" s="4" t="s">
        <v>284</v>
      </c>
      <c r="D51" s="4" t="s">
        <v>285</v>
      </c>
      <c r="E51" s="4" t="s">
        <v>33</v>
      </c>
      <c r="F51" s="9" t="s">
        <v>201</v>
      </c>
      <c r="G51" s="2" t="s">
        <v>202</v>
      </c>
      <c r="H51" s="2" t="s">
        <v>204</v>
      </c>
      <c r="I51" s="2" t="s">
        <v>286</v>
      </c>
      <c r="J51" s="2"/>
      <c r="K51" s="2" t="s">
        <v>204</v>
      </c>
      <c r="L51" s="4" t="s">
        <v>40</v>
      </c>
      <c r="M51" s="4"/>
      <c r="N51" s="2" t="s">
        <v>209</v>
      </c>
      <c r="O51" s="2" t="s">
        <v>42</v>
      </c>
    </row>
  </sheetData>
  <autoFilter ref="A1:O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12" min="2" style="0" width="14"/>
    <col collapsed="false" customWidth="true" hidden="false" outlineLevel="0" max="13" min="13" style="0" width="38"/>
  </cols>
  <sheetData>
    <row r="1" customFormat="false" ht="39.55" hidden="false" customHeight="false" outlineLevel="0" collapsed="false">
      <c r="A1" s="3" t="s">
        <v>287</v>
      </c>
      <c r="B1" s="3" t="s">
        <v>288</v>
      </c>
      <c r="C1" s="3" t="s">
        <v>289</v>
      </c>
      <c r="D1" s="3" t="s">
        <v>290</v>
      </c>
      <c r="E1" s="3" t="s">
        <v>291</v>
      </c>
      <c r="F1" s="3" t="s">
        <v>292</v>
      </c>
      <c r="G1" s="3" t="s">
        <v>293</v>
      </c>
      <c r="H1" s="3" t="s">
        <v>294</v>
      </c>
      <c r="I1" s="3" t="s">
        <v>295</v>
      </c>
      <c r="J1" s="3" t="s">
        <v>296</v>
      </c>
      <c r="K1" s="3" t="s">
        <v>297</v>
      </c>
      <c r="L1" s="3" t="s">
        <v>298</v>
      </c>
      <c r="M1" s="3" t="s">
        <v>299</v>
      </c>
    </row>
    <row r="2" customFormat="false" ht="15" hidden="false" customHeight="false" outlineLevel="0" collapsed="false">
      <c r="A2" s="2" t="s">
        <v>300</v>
      </c>
      <c r="B2" s="4" t="s">
        <v>301</v>
      </c>
      <c r="C2" s="4" t="n">
        <v>13453</v>
      </c>
      <c r="D2" s="4" t="n">
        <v>13494</v>
      </c>
      <c r="E2" s="4" t="n">
        <v>1</v>
      </c>
      <c r="F2" s="4" t="n">
        <v>0</v>
      </c>
      <c r="G2" s="4" t="n">
        <v>0</v>
      </c>
      <c r="H2" s="4" t="n">
        <v>13453</v>
      </c>
      <c r="I2" s="4" t="n">
        <v>0</v>
      </c>
      <c r="J2" s="4" t="n">
        <v>0</v>
      </c>
      <c r="K2" s="4" t="n">
        <v>2001</v>
      </c>
      <c r="L2" s="4" t="n">
        <v>2023</v>
      </c>
      <c r="M2" s="4" t="s">
        <v>302</v>
      </c>
    </row>
    <row r="3" customFormat="false" ht="15" hidden="false" customHeight="false" outlineLevel="0" collapsed="false">
      <c r="A3" s="2" t="s">
        <v>303</v>
      </c>
      <c r="B3" s="4" t="s">
        <v>304</v>
      </c>
      <c r="C3" s="4" t="n">
        <v>8663</v>
      </c>
      <c r="D3" s="4" t="n">
        <v>19432</v>
      </c>
      <c r="E3" s="4" t="n">
        <v>1</v>
      </c>
      <c r="F3" s="4" t="n">
        <v>0</v>
      </c>
      <c r="G3" s="4" t="n">
        <v>8663</v>
      </c>
      <c r="H3" s="4" t="n">
        <v>0</v>
      </c>
      <c r="I3" s="4" t="n">
        <v>0</v>
      </c>
      <c r="J3" s="4" t="n">
        <v>0</v>
      </c>
      <c r="K3" s="4" t="n">
        <v>1974</v>
      </c>
      <c r="L3" s="4" t="n">
        <v>2024</v>
      </c>
      <c r="M3" s="4" t="s">
        <v>305</v>
      </c>
    </row>
    <row r="4" customFormat="false" ht="15" hidden="false" customHeight="false" outlineLevel="0" collapsed="false">
      <c r="A4" s="2" t="s">
        <v>306</v>
      </c>
      <c r="B4" s="4" t="s">
        <v>304</v>
      </c>
      <c r="C4" s="4" t="n">
        <v>1014</v>
      </c>
      <c r="D4" s="4" t="n">
        <v>2548</v>
      </c>
      <c r="E4" s="4" t="n">
        <v>1</v>
      </c>
      <c r="F4" s="4" t="n">
        <v>0</v>
      </c>
      <c r="G4" s="4" t="n">
        <v>1014</v>
      </c>
      <c r="H4" s="4" t="n">
        <v>0</v>
      </c>
      <c r="I4" s="4" t="n">
        <v>0</v>
      </c>
      <c r="J4" s="4" t="n">
        <v>0</v>
      </c>
      <c r="K4" s="4" t="n">
        <v>1975</v>
      </c>
      <c r="L4" s="4" t="n">
        <v>2026</v>
      </c>
      <c r="M4" s="4" t="s">
        <v>307</v>
      </c>
    </row>
    <row r="5" customFormat="false" ht="15" hidden="false" customHeight="false" outlineLevel="0" collapsed="false">
      <c r="A5" s="2" t="s">
        <v>308</v>
      </c>
      <c r="B5" s="4" t="s">
        <v>304</v>
      </c>
      <c r="C5" s="4" t="n">
        <v>523</v>
      </c>
      <c r="D5" s="4" t="n">
        <v>649</v>
      </c>
      <c r="E5" s="4" t="n">
        <v>6</v>
      </c>
      <c r="F5" s="4" t="n">
        <v>523</v>
      </c>
      <c r="G5" s="4" t="n">
        <v>0</v>
      </c>
      <c r="H5" s="4" t="n">
        <v>0</v>
      </c>
      <c r="I5" s="4" t="n">
        <v>0</v>
      </c>
      <c r="J5" s="4" t="n">
        <v>0</v>
      </c>
      <c r="K5" s="4" t="n">
        <v>1902</v>
      </c>
      <c r="L5" s="4" t="n">
        <v>2019</v>
      </c>
      <c r="M5" s="4" t="s">
        <v>309</v>
      </c>
    </row>
    <row r="6" customFormat="false" ht="15" hidden="false" customHeight="false" outlineLevel="0" collapsed="false">
      <c r="A6" s="2" t="s">
        <v>310</v>
      </c>
      <c r="B6" s="4" t="s">
        <v>304</v>
      </c>
      <c r="C6" s="4" t="n">
        <v>427</v>
      </c>
      <c r="D6" s="4" t="n">
        <v>650</v>
      </c>
      <c r="E6" s="4" t="n">
        <v>2</v>
      </c>
      <c r="F6" s="4" t="n">
        <v>427</v>
      </c>
      <c r="G6" s="4" t="n">
        <v>0</v>
      </c>
      <c r="H6" s="4" t="n">
        <v>0</v>
      </c>
      <c r="I6" s="4" t="n">
        <v>0</v>
      </c>
      <c r="J6" s="4" t="n">
        <v>0</v>
      </c>
      <c r="K6" s="4" t="n">
        <v>1928</v>
      </c>
      <c r="L6" s="4" t="n">
        <v>2024</v>
      </c>
      <c r="M6" s="4" t="s">
        <v>311</v>
      </c>
    </row>
    <row r="7" customFormat="false" ht="15" hidden="false" customHeight="false" outlineLevel="0" collapsed="false">
      <c r="A7" s="2" t="s">
        <v>312</v>
      </c>
      <c r="B7" s="4" t="s">
        <v>304</v>
      </c>
      <c r="C7" s="4" t="n">
        <v>397</v>
      </c>
      <c r="D7" s="4" t="n">
        <v>414</v>
      </c>
      <c r="E7" s="4" t="n">
        <v>2</v>
      </c>
      <c r="F7" s="4" t="n">
        <v>397</v>
      </c>
      <c r="G7" s="4" t="n">
        <v>0</v>
      </c>
      <c r="H7" s="4" t="n">
        <v>0</v>
      </c>
      <c r="I7" s="4" t="n">
        <v>0</v>
      </c>
      <c r="J7" s="4" t="n">
        <v>0</v>
      </c>
      <c r="K7" s="4" t="n">
        <v>1928</v>
      </c>
      <c r="L7" s="4" t="n">
        <v>2024</v>
      </c>
      <c r="M7" s="4" t="s">
        <v>313</v>
      </c>
    </row>
    <row r="8" customFormat="false" ht="15" hidden="false" customHeight="false" outlineLevel="0" collapsed="false">
      <c r="A8" s="2" t="s">
        <v>314</v>
      </c>
      <c r="B8" s="4" t="s">
        <v>304</v>
      </c>
      <c r="C8" s="4" t="n">
        <v>222</v>
      </c>
      <c r="D8" s="4" t="n">
        <v>726</v>
      </c>
      <c r="E8" s="4" t="n">
        <v>3</v>
      </c>
      <c r="F8" s="4" t="n">
        <v>222</v>
      </c>
      <c r="G8" s="4" t="n">
        <v>0</v>
      </c>
      <c r="H8" s="4" t="n">
        <v>0</v>
      </c>
      <c r="I8" s="4" t="n">
        <v>0</v>
      </c>
      <c r="J8" s="4" t="n">
        <v>0</v>
      </c>
      <c r="K8" s="4" t="n">
        <v>1931</v>
      </c>
      <c r="L8" s="4" t="n">
        <v>2017</v>
      </c>
      <c r="M8" s="4" t="s">
        <v>315</v>
      </c>
    </row>
    <row r="9" customFormat="false" ht="15" hidden="false" customHeight="false" outlineLevel="0" collapsed="false">
      <c r="A9" s="2" t="s">
        <v>316</v>
      </c>
      <c r="B9" s="4" t="s">
        <v>304</v>
      </c>
      <c r="C9" s="4" t="n">
        <v>194</v>
      </c>
      <c r="D9" s="4" t="n">
        <v>719</v>
      </c>
      <c r="E9" s="4" t="n">
        <v>5</v>
      </c>
      <c r="F9" s="4" t="n">
        <v>96</v>
      </c>
      <c r="G9" s="4" t="n">
        <v>0</v>
      </c>
      <c r="H9" s="4" t="n">
        <v>0</v>
      </c>
      <c r="I9" s="4" t="n">
        <v>98</v>
      </c>
      <c r="J9" s="4" t="n">
        <v>0</v>
      </c>
      <c r="K9" s="4" t="n">
        <v>1929</v>
      </c>
      <c r="L9" s="4" t="n">
        <v>2001</v>
      </c>
      <c r="M9" s="4" t="s">
        <v>317</v>
      </c>
    </row>
    <row r="10" customFormat="false" ht="15" hidden="false" customHeight="false" outlineLevel="0" collapsed="false">
      <c r="A10" s="2" t="s">
        <v>318</v>
      </c>
      <c r="B10" s="4" t="s">
        <v>304</v>
      </c>
      <c r="C10" s="4" t="n">
        <v>150</v>
      </c>
      <c r="D10" s="4" t="n">
        <v>254</v>
      </c>
      <c r="E10" s="4" t="n">
        <v>2</v>
      </c>
      <c r="F10" s="4" t="n">
        <v>150</v>
      </c>
      <c r="G10" s="4" t="n">
        <v>0</v>
      </c>
      <c r="H10" s="4" t="n">
        <v>0</v>
      </c>
      <c r="I10" s="4" t="n">
        <v>0</v>
      </c>
      <c r="J10" s="4" t="n">
        <v>0</v>
      </c>
      <c r="K10" s="4" t="n">
        <v>1960</v>
      </c>
      <c r="L10" s="4" t="n">
        <v>2022</v>
      </c>
      <c r="M10" s="4" t="s">
        <v>319</v>
      </c>
    </row>
    <row r="11" customFormat="false" ht="15" hidden="false" customHeight="false" outlineLevel="0" collapsed="false">
      <c r="A11" s="2" t="s">
        <v>320</v>
      </c>
      <c r="B11" s="4" t="s">
        <v>304</v>
      </c>
      <c r="C11" s="4" t="n">
        <v>53</v>
      </c>
      <c r="D11" s="4" t="n">
        <v>86</v>
      </c>
      <c r="E11" s="4" t="n">
        <v>1</v>
      </c>
      <c r="F11" s="4" t="n">
        <v>53</v>
      </c>
      <c r="G11" s="4" t="n">
        <v>0</v>
      </c>
      <c r="H11" s="4" t="n">
        <v>0</v>
      </c>
      <c r="I11" s="4" t="n">
        <v>0</v>
      </c>
      <c r="J11" s="4" t="n">
        <v>0</v>
      </c>
      <c r="K11" s="4" t="n">
        <v>1924</v>
      </c>
      <c r="L11" s="4" t="n">
        <v>2004</v>
      </c>
      <c r="M11" s="4" t="s">
        <v>321</v>
      </c>
    </row>
    <row r="12" customFormat="false" ht="15" hidden="false" customHeight="false" outlineLevel="0" collapsed="false">
      <c r="A12" s="2" t="s">
        <v>322</v>
      </c>
      <c r="B12" s="4" t="s">
        <v>304</v>
      </c>
      <c r="C12" s="4" t="n">
        <v>47</v>
      </c>
      <c r="D12" s="4" t="n">
        <v>56</v>
      </c>
      <c r="E12" s="4" t="n">
        <v>1</v>
      </c>
      <c r="F12" s="4" t="n">
        <v>47</v>
      </c>
      <c r="G12" s="4" t="n">
        <v>0</v>
      </c>
      <c r="H12" s="4" t="n">
        <v>0</v>
      </c>
      <c r="I12" s="4" t="n">
        <v>0</v>
      </c>
      <c r="J12" s="4" t="n">
        <v>0</v>
      </c>
      <c r="K12" s="4" t="n">
        <v>2019</v>
      </c>
      <c r="L12" s="4" t="n">
        <v>2019</v>
      </c>
      <c r="M12" s="4" t="s">
        <v>323</v>
      </c>
    </row>
    <row r="13" customFormat="false" ht="15" hidden="false" customHeight="false" outlineLevel="0" collapsed="false">
      <c r="A13" s="2" t="s">
        <v>324</v>
      </c>
      <c r="B13" s="4" t="s">
        <v>304</v>
      </c>
      <c r="C13" s="4" t="n">
        <v>39</v>
      </c>
      <c r="D13" s="4" t="n">
        <v>108</v>
      </c>
      <c r="E13" s="4" t="n">
        <v>1</v>
      </c>
      <c r="F13" s="4" t="n">
        <v>39</v>
      </c>
      <c r="G13" s="4" t="n">
        <v>0</v>
      </c>
      <c r="H13" s="4" t="n">
        <v>0</v>
      </c>
      <c r="I13" s="4" t="n">
        <v>0</v>
      </c>
      <c r="J13" s="4" t="n">
        <v>0</v>
      </c>
      <c r="K13" s="4" t="n">
        <v>1965</v>
      </c>
      <c r="L13" s="4" t="n">
        <v>1970</v>
      </c>
      <c r="M13" s="4" t="s">
        <v>325</v>
      </c>
    </row>
    <row r="14" customFormat="false" ht="15" hidden="false" customHeight="false" outlineLevel="0" collapsed="false">
      <c r="A14" s="2" t="s">
        <v>326</v>
      </c>
      <c r="B14" s="4" t="s">
        <v>304</v>
      </c>
      <c r="C14" s="4" t="n">
        <v>35</v>
      </c>
      <c r="D14" s="4" t="n">
        <v>49</v>
      </c>
      <c r="E14" s="4" t="n">
        <v>1</v>
      </c>
      <c r="F14" s="4" t="n">
        <v>35</v>
      </c>
      <c r="G14" s="4" t="n">
        <v>0</v>
      </c>
      <c r="H14" s="4" t="n">
        <v>0</v>
      </c>
      <c r="I14" s="4" t="n">
        <v>0</v>
      </c>
      <c r="J14" s="4" t="n">
        <v>0</v>
      </c>
      <c r="K14" s="4" t="n">
        <v>1950</v>
      </c>
      <c r="L14" s="4" t="n">
        <v>2022</v>
      </c>
      <c r="M14" s="4" t="s">
        <v>327</v>
      </c>
    </row>
    <row r="15" customFormat="false" ht="15" hidden="false" customHeight="false" outlineLevel="0" collapsed="false">
      <c r="A15" s="2" t="s">
        <v>328</v>
      </c>
      <c r="B15" s="4" t="s">
        <v>304</v>
      </c>
      <c r="C15" s="4" t="n">
        <v>34</v>
      </c>
      <c r="D15" s="4" t="n">
        <v>42</v>
      </c>
      <c r="E15" s="4" t="n">
        <v>1</v>
      </c>
      <c r="F15" s="4" t="n">
        <v>34</v>
      </c>
      <c r="G15" s="4" t="n">
        <v>0</v>
      </c>
      <c r="H15" s="4" t="n">
        <v>0</v>
      </c>
      <c r="I15" s="4" t="n">
        <v>0</v>
      </c>
      <c r="J15" s="4" t="n">
        <v>0</v>
      </c>
      <c r="K15" s="4" t="n">
        <v>1951</v>
      </c>
      <c r="L15" s="4" t="n">
        <v>1982</v>
      </c>
      <c r="M15" s="4" t="s">
        <v>329</v>
      </c>
    </row>
    <row r="16" customFormat="false" ht="15" hidden="false" customHeight="false" outlineLevel="0" collapsed="false">
      <c r="A16" s="2" t="s">
        <v>330</v>
      </c>
      <c r="B16" s="4" t="s">
        <v>304</v>
      </c>
      <c r="C16" s="4" t="n">
        <v>34</v>
      </c>
      <c r="D16" s="4" t="n">
        <v>34</v>
      </c>
      <c r="E16" s="4" t="n">
        <v>1</v>
      </c>
      <c r="F16" s="4" t="n">
        <v>34</v>
      </c>
      <c r="G16" s="4" t="n">
        <v>0</v>
      </c>
      <c r="H16" s="4" t="n">
        <v>0</v>
      </c>
      <c r="I16" s="4" t="n">
        <v>0</v>
      </c>
      <c r="J16" s="4" t="n">
        <v>0</v>
      </c>
      <c r="K16" s="4" t="n">
        <v>2019</v>
      </c>
      <c r="L16" s="4" t="n">
        <v>2019</v>
      </c>
      <c r="M16" s="4" t="s">
        <v>331</v>
      </c>
    </row>
    <row r="17" customFormat="false" ht="15" hidden="false" customHeight="false" outlineLevel="0" collapsed="false">
      <c r="A17" s="2" t="s">
        <v>332</v>
      </c>
      <c r="B17" s="4" t="s">
        <v>304</v>
      </c>
      <c r="C17" s="4" t="n">
        <v>26</v>
      </c>
      <c r="D17" s="4" t="n">
        <v>60</v>
      </c>
      <c r="E17" s="4" t="n">
        <v>2</v>
      </c>
      <c r="F17" s="4" t="n">
        <v>26</v>
      </c>
      <c r="G17" s="4" t="n">
        <v>0</v>
      </c>
      <c r="H17" s="4" t="n">
        <v>0</v>
      </c>
      <c r="I17" s="4" t="n">
        <v>0</v>
      </c>
      <c r="J17" s="4" t="n">
        <v>0</v>
      </c>
      <c r="K17" s="4" t="n">
        <v>1939</v>
      </c>
      <c r="L17" s="4" t="n">
        <v>2001</v>
      </c>
      <c r="M17" s="4" t="s">
        <v>333</v>
      </c>
    </row>
    <row r="18" customFormat="false" ht="15" hidden="false" customHeight="false" outlineLevel="0" collapsed="false">
      <c r="A18" s="2" t="s">
        <v>334</v>
      </c>
      <c r="B18" s="4" t="s">
        <v>304</v>
      </c>
      <c r="C18" s="4" t="n">
        <v>26</v>
      </c>
      <c r="D18" s="4" t="n">
        <v>35</v>
      </c>
      <c r="E18" s="4" t="n">
        <v>1</v>
      </c>
      <c r="F18" s="4" t="n">
        <v>26</v>
      </c>
      <c r="G18" s="4" t="n">
        <v>0</v>
      </c>
      <c r="H18" s="4" t="n">
        <v>0</v>
      </c>
      <c r="I18" s="4" t="n">
        <v>0</v>
      </c>
      <c r="J18" s="4" t="n">
        <v>0</v>
      </c>
      <c r="K18" s="4" t="n">
        <v>1970</v>
      </c>
      <c r="L18" s="4" t="n">
        <v>1971</v>
      </c>
      <c r="M18" s="4" t="s">
        <v>335</v>
      </c>
    </row>
    <row r="19" customFormat="false" ht="15" hidden="false" customHeight="false" outlineLevel="0" collapsed="false">
      <c r="A19" s="2" t="s">
        <v>336</v>
      </c>
      <c r="B19" s="4" t="s">
        <v>337</v>
      </c>
      <c r="C19" s="4" t="n">
        <v>25</v>
      </c>
      <c r="D19" s="4" t="n">
        <v>31</v>
      </c>
      <c r="E19" s="4" t="n">
        <v>1</v>
      </c>
      <c r="F19" s="4" t="n">
        <v>0</v>
      </c>
      <c r="G19" s="4" t="n">
        <v>0</v>
      </c>
      <c r="H19" s="4" t="n">
        <v>0</v>
      </c>
      <c r="I19" s="4" t="n">
        <v>0</v>
      </c>
      <c r="J19" s="4" t="n">
        <v>25</v>
      </c>
      <c r="K19" s="4" t="n">
        <v>1928</v>
      </c>
      <c r="L19" s="4" t="n">
        <v>2004</v>
      </c>
      <c r="M19" s="4" t="s">
        <v>338</v>
      </c>
    </row>
    <row r="20" customFormat="false" ht="15" hidden="false" customHeight="false" outlineLevel="0" collapsed="false">
      <c r="A20" s="2" t="s">
        <v>339</v>
      </c>
      <c r="B20" s="4" t="s">
        <v>304</v>
      </c>
      <c r="C20" s="4" t="n">
        <v>22</v>
      </c>
      <c r="D20" s="4" t="n">
        <v>22</v>
      </c>
      <c r="E20" s="4" t="n">
        <v>1</v>
      </c>
      <c r="F20" s="4" t="n">
        <v>22</v>
      </c>
      <c r="G20" s="4" t="n">
        <v>0</v>
      </c>
      <c r="H20" s="4" t="n">
        <v>0</v>
      </c>
      <c r="I20" s="4" t="n">
        <v>0</v>
      </c>
      <c r="J20" s="4" t="n">
        <v>0</v>
      </c>
      <c r="K20" s="4" t="n">
        <v>1957</v>
      </c>
      <c r="L20" s="4" t="n">
        <v>1974</v>
      </c>
      <c r="M20" s="4" t="s">
        <v>340</v>
      </c>
    </row>
    <row r="21" customFormat="false" ht="15" hidden="false" customHeight="false" outlineLevel="0" collapsed="false">
      <c r="A21" s="2" t="s">
        <v>341</v>
      </c>
      <c r="B21" s="4" t="s">
        <v>304</v>
      </c>
      <c r="C21" s="4" t="n">
        <v>17</v>
      </c>
      <c r="D21" s="4" t="n">
        <v>124</v>
      </c>
      <c r="E21" s="4" t="n">
        <v>2</v>
      </c>
      <c r="F21" s="4" t="n">
        <v>17</v>
      </c>
      <c r="G21" s="4" t="n">
        <v>0</v>
      </c>
      <c r="H21" s="4" t="n">
        <v>0</v>
      </c>
      <c r="I21" s="4" t="n">
        <v>0</v>
      </c>
      <c r="J21" s="4" t="n">
        <v>0</v>
      </c>
      <c r="K21" s="4" t="n">
        <v>1966</v>
      </c>
      <c r="L21" s="4" t="n">
        <v>2017</v>
      </c>
      <c r="M21" s="4" t="s">
        <v>342</v>
      </c>
    </row>
    <row r="22" customFormat="false" ht="15" hidden="false" customHeight="false" outlineLevel="0" collapsed="false">
      <c r="A22" s="2" t="s">
        <v>343</v>
      </c>
      <c r="B22" s="4" t="s">
        <v>304</v>
      </c>
      <c r="C22" s="4" t="n">
        <v>17</v>
      </c>
      <c r="D22" s="4" t="n">
        <v>22</v>
      </c>
      <c r="E22" s="4" t="n">
        <v>1</v>
      </c>
      <c r="F22" s="4" t="n">
        <v>17</v>
      </c>
      <c r="G22" s="4" t="n">
        <v>0</v>
      </c>
      <c r="H22" s="4" t="n">
        <v>0</v>
      </c>
      <c r="I22" s="4" t="n">
        <v>0</v>
      </c>
      <c r="J22" s="4" t="n">
        <v>0</v>
      </c>
      <c r="K22" s="4" t="n">
        <v>1984</v>
      </c>
      <c r="L22" s="4" t="n">
        <v>2007</v>
      </c>
      <c r="M22" s="4" t="s">
        <v>344</v>
      </c>
    </row>
    <row r="23" customFormat="false" ht="15" hidden="false" customHeight="false" outlineLevel="0" collapsed="false">
      <c r="A23" s="2" t="s">
        <v>345</v>
      </c>
      <c r="B23" s="4" t="s">
        <v>346</v>
      </c>
      <c r="C23" s="4" t="n">
        <v>15</v>
      </c>
      <c r="D23" s="4" t="n">
        <v>15</v>
      </c>
      <c r="E23" s="4" t="n">
        <v>1</v>
      </c>
      <c r="F23" s="4" t="n">
        <v>15</v>
      </c>
      <c r="G23" s="4" t="n">
        <v>0</v>
      </c>
      <c r="H23" s="4" t="n">
        <v>0</v>
      </c>
      <c r="I23" s="4" t="n">
        <v>0</v>
      </c>
      <c r="J23" s="4" t="n">
        <v>0</v>
      </c>
      <c r="K23" s="4" t="n">
        <v>1956</v>
      </c>
      <c r="L23" s="4" t="n">
        <v>1956</v>
      </c>
      <c r="M23" s="4" t="s">
        <v>347</v>
      </c>
    </row>
    <row r="24" customFormat="false" ht="15" hidden="false" customHeight="false" outlineLevel="0" collapsed="false">
      <c r="A24" s="2" t="s">
        <v>348</v>
      </c>
      <c r="B24" s="4" t="s">
        <v>304</v>
      </c>
      <c r="C24" s="4" t="n">
        <v>13</v>
      </c>
      <c r="D24" s="4" t="n">
        <v>14</v>
      </c>
      <c r="E24" s="4" t="n">
        <v>1</v>
      </c>
      <c r="F24" s="4" t="n">
        <v>13</v>
      </c>
      <c r="G24" s="4" t="n">
        <v>0</v>
      </c>
      <c r="H24" s="4" t="n">
        <v>0</v>
      </c>
      <c r="I24" s="4" t="n">
        <v>0</v>
      </c>
      <c r="J24" s="4" t="n">
        <v>0</v>
      </c>
      <c r="K24" s="4" t="n">
        <v>2019</v>
      </c>
      <c r="L24" s="4" t="n">
        <v>2019</v>
      </c>
      <c r="M24" s="4" t="s">
        <v>349</v>
      </c>
    </row>
    <row r="25" customFormat="false" ht="15" hidden="false" customHeight="false" outlineLevel="0" collapsed="false">
      <c r="A25" s="2" t="s">
        <v>350</v>
      </c>
      <c r="B25" s="4" t="s">
        <v>304</v>
      </c>
      <c r="C25" s="4" t="n">
        <v>11</v>
      </c>
      <c r="D25" s="4" t="n">
        <v>12</v>
      </c>
      <c r="E25" s="4" t="n">
        <v>1</v>
      </c>
      <c r="F25" s="4" t="n">
        <v>11</v>
      </c>
      <c r="G25" s="4" t="n">
        <v>0</v>
      </c>
      <c r="H25" s="4" t="n">
        <v>0</v>
      </c>
      <c r="I25" s="4" t="n">
        <v>0</v>
      </c>
      <c r="J25" s="4" t="n">
        <v>0</v>
      </c>
      <c r="K25" s="4" t="n">
        <v>1951</v>
      </c>
      <c r="L25" s="4" t="n">
        <v>1951</v>
      </c>
      <c r="M25" s="4" t="s">
        <v>351</v>
      </c>
    </row>
    <row r="26" customFormat="false" ht="15" hidden="false" customHeight="false" outlineLevel="0" collapsed="false">
      <c r="A26" s="2" t="s">
        <v>352</v>
      </c>
      <c r="B26" s="4" t="s">
        <v>304</v>
      </c>
      <c r="C26" s="4" t="n">
        <v>11</v>
      </c>
      <c r="D26" s="4" t="n">
        <v>11</v>
      </c>
      <c r="E26" s="4" t="n">
        <v>2</v>
      </c>
      <c r="F26" s="4" t="n">
        <v>11</v>
      </c>
      <c r="G26" s="4" t="n">
        <v>0</v>
      </c>
      <c r="H26" s="4" t="n">
        <v>0</v>
      </c>
      <c r="I26" s="4" t="n">
        <v>0</v>
      </c>
      <c r="J26" s="4" t="n">
        <v>0</v>
      </c>
      <c r="K26" s="4" t="n">
        <v>1924</v>
      </c>
      <c r="L26" s="4" t="n">
        <v>1946</v>
      </c>
      <c r="M26" s="4" t="s">
        <v>353</v>
      </c>
    </row>
    <row r="27" customFormat="false" ht="15" hidden="false" customHeight="false" outlineLevel="0" collapsed="false">
      <c r="A27" s="2" t="s">
        <v>354</v>
      </c>
      <c r="B27" s="4" t="s">
        <v>304</v>
      </c>
      <c r="C27" s="4" t="n">
        <v>11</v>
      </c>
      <c r="D27" s="4" t="n">
        <v>11</v>
      </c>
      <c r="E27" s="4" t="n">
        <v>1</v>
      </c>
      <c r="F27" s="4" t="n">
        <v>11</v>
      </c>
      <c r="G27" s="4" t="n">
        <v>0</v>
      </c>
      <c r="H27" s="4" t="n">
        <v>0</v>
      </c>
      <c r="I27" s="4" t="n">
        <v>0</v>
      </c>
      <c r="J27" s="4" t="n">
        <v>0</v>
      </c>
      <c r="K27" s="4"/>
      <c r="L27" s="4"/>
      <c r="M27" s="4" t="s">
        <v>355</v>
      </c>
    </row>
    <row r="28" customFormat="false" ht="15" hidden="false" customHeight="false" outlineLevel="0" collapsed="false">
      <c r="A28" s="2" t="s">
        <v>356</v>
      </c>
      <c r="B28" s="4" t="s">
        <v>304</v>
      </c>
      <c r="C28" s="4" t="n">
        <v>9</v>
      </c>
      <c r="D28" s="4" t="n">
        <v>21</v>
      </c>
      <c r="E28" s="4" t="n">
        <v>1</v>
      </c>
      <c r="F28" s="4" t="n">
        <v>9</v>
      </c>
      <c r="G28" s="4" t="n">
        <v>0</v>
      </c>
      <c r="H28" s="4" t="n">
        <v>0</v>
      </c>
      <c r="I28" s="4" t="n">
        <v>0</v>
      </c>
      <c r="J28" s="4" t="n">
        <v>0</v>
      </c>
      <c r="K28" s="4" t="n">
        <v>1998</v>
      </c>
      <c r="L28" s="4" t="n">
        <v>1998</v>
      </c>
      <c r="M28" s="4" t="s">
        <v>357</v>
      </c>
    </row>
    <row r="29" customFormat="false" ht="15" hidden="false" customHeight="false" outlineLevel="0" collapsed="false">
      <c r="A29" s="2" t="s">
        <v>358</v>
      </c>
      <c r="B29" s="4" t="s">
        <v>304</v>
      </c>
      <c r="C29" s="4" t="n">
        <v>8</v>
      </c>
      <c r="D29" s="4" t="n">
        <v>662</v>
      </c>
      <c r="E29" s="4" t="n">
        <v>2</v>
      </c>
      <c r="F29" s="4" t="n">
        <v>8</v>
      </c>
      <c r="G29" s="4" t="n">
        <v>0</v>
      </c>
      <c r="H29" s="4" t="n">
        <v>0</v>
      </c>
      <c r="I29" s="4" t="n">
        <v>0</v>
      </c>
      <c r="J29" s="4" t="n">
        <v>0</v>
      </c>
      <c r="K29" s="4" t="n">
        <v>1931</v>
      </c>
      <c r="L29" s="4" t="n">
        <v>2022</v>
      </c>
      <c r="M29" s="4" t="s">
        <v>359</v>
      </c>
    </row>
    <row r="30" customFormat="false" ht="15" hidden="false" customHeight="false" outlineLevel="0" collapsed="false">
      <c r="A30" s="2" t="s">
        <v>360</v>
      </c>
      <c r="B30" s="4" t="s">
        <v>304</v>
      </c>
      <c r="C30" s="4" t="n">
        <v>7</v>
      </c>
      <c r="D30" s="4" t="n">
        <v>8</v>
      </c>
      <c r="E30" s="4" t="n">
        <v>1</v>
      </c>
      <c r="F30" s="4" t="n">
        <v>7</v>
      </c>
      <c r="G30" s="4" t="n">
        <v>0</v>
      </c>
      <c r="H30" s="4" t="n">
        <v>0</v>
      </c>
      <c r="I30" s="4" t="n">
        <v>0</v>
      </c>
      <c r="J30" s="4" t="n">
        <v>0</v>
      </c>
      <c r="K30" s="4" t="n">
        <v>1971</v>
      </c>
      <c r="L30" s="4" t="n">
        <v>1971</v>
      </c>
      <c r="M30" s="4" t="s">
        <v>361</v>
      </c>
    </row>
    <row r="31" customFormat="false" ht="15" hidden="false" customHeight="false" outlineLevel="0" collapsed="false">
      <c r="A31" s="2" t="s">
        <v>362</v>
      </c>
      <c r="B31" s="4" t="s">
        <v>304</v>
      </c>
      <c r="C31" s="4" t="n">
        <v>6</v>
      </c>
      <c r="D31" s="4" t="n">
        <v>6</v>
      </c>
      <c r="E31" s="4" t="n">
        <v>1</v>
      </c>
      <c r="F31" s="4" t="n">
        <v>6</v>
      </c>
      <c r="G31" s="4" t="n">
        <v>0</v>
      </c>
      <c r="H31" s="4" t="n">
        <v>0</v>
      </c>
      <c r="I31" s="4" t="n">
        <v>0</v>
      </c>
      <c r="J31" s="4" t="n">
        <v>0</v>
      </c>
      <c r="K31" s="4" t="n">
        <v>1980</v>
      </c>
      <c r="L31" s="4" t="n">
        <v>1980</v>
      </c>
      <c r="M31" s="4" t="s">
        <v>363</v>
      </c>
    </row>
    <row r="32" customFormat="false" ht="15" hidden="false" customHeight="false" outlineLevel="0" collapsed="false">
      <c r="A32" s="2" t="s">
        <v>364</v>
      </c>
      <c r="B32" s="4" t="s">
        <v>304</v>
      </c>
      <c r="C32" s="4" t="n">
        <v>5</v>
      </c>
      <c r="D32" s="4" t="n">
        <v>15</v>
      </c>
      <c r="E32" s="4" t="n">
        <v>1</v>
      </c>
      <c r="F32" s="4" t="n">
        <v>5</v>
      </c>
      <c r="G32" s="4" t="n">
        <v>0</v>
      </c>
      <c r="H32" s="4" t="n">
        <v>0</v>
      </c>
      <c r="I32" s="4" t="n">
        <v>0</v>
      </c>
      <c r="J32" s="4" t="n">
        <v>0</v>
      </c>
      <c r="K32" s="4" t="n">
        <v>1953</v>
      </c>
      <c r="L32" s="4" t="n">
        <v>1953</v>
      </c>
      <c r="M32" s="4" t="s">
        <v>365</v>
      </c>
    </row>
    <row r="33" customFormat="false" ht="15" hidden="false" customHeight="false" outlineLevel="0" collapsed="false">
      <c r="A33" s="2" t="s">
        <v>366</v>
      </c>
      <c r="B33" s="4" t="s">
        <v>304</v>
      </c>
      <c r="C33" s="4" t="n">
        <v>5</v>
      </c>
      <c r="D33" s="4" t="n">
        <v>9</v>
      </c>
      <c r="E33" s="4" t="n">
        <v>1</v>
      </c>
      <c r="F33" s="4" t="n">
        <v>5</v>
      </c>
      <c r="G33" s="4" t="n">
        <v>0</v>
      </c>
      <c r="H33" s="4" t="n">
        <v>0</v>
      </c>
      <c r="I33" s="4" t="n">
        <v>0</v>
      </c>
      <c r="J33" s="4" t="n">
        <v>0</v>
      </c>
      <c r="K33" s="4" t="n">
        <v>1971</v>
      </c>
      <c r="L33" s="4" t="n">
        <v>1972</v>
      </c>
      <c r="M33" s="4" t="s">
        <v>367</v>
      </c>
    </row>
    <row r="34" customFormat="false" ht="15" hidden="false" customHeight="false" outlineLevel="0" collapsed="false">
      <c r="A34" s="2" t="s">
        <v>368</v>
      </c>
      <c r="B34" s="4" t="s">
        <v>304</v>
      </c>
      <c r="C34" s="4" t="n">
        <v>5</v>
      </c>
      <c r="D34" s="4" t="n">
        <v>9</v>
      </c>
      <c r="E34" s="4" t="n">
        <v>1</v>
      </c>
      <c r="F34" s="4" t="n">
        <v>5</v>
      </c>
      <c r="G34" s="4" t="n">
        <v>0</v>
      </c>
      <c r="H34" s="4" t="n">
        <v>0</v>
      </c>
      <c r="I34" s="4" t="n">
        <v>0</v>
      </c>
      <c r="J34" s="4" t="n">
        <v>0</v>
      </c>
      <c r="K34" s="4" t="n">
        <v>1951</v>
      </c>
      <c r="L34" s="4" t="n">
        <v>1951</v>
      </c>
      <c r="M34" s="4" t="s">
        <v>369</v>
      </c>
    </row>
    <row r="35" customFormat="false" ht="15" hidden="false" customHeight="false" outlineLevel="0" collapsed="false">
      <c r="A35" s="2" t="s">
        <v>370</v>
      </c>
      <c r="B35" s="4" t="s">
        <v>304</v>
      </c>
      <c r="C35" s="4" t="n">
        <v>5</v>
      </c>
      <c r="D35" s="4" t="n">
        <v>6</v>
      </c>
      <c r="E35" s="4" t="n">
        <v>1</v>
      </c>
      <c r="F35" s="4" t="n">
        <v>5</v>
      </c>
      <c r="G35" s="4" t="n">
        <v>0</v>
      </c>
      <c r="H35" s="4" t="n">
        <v>0</v>
      </c>
      <c r="I35" s="4" t="n">
        <v>0</v>
      </c>
      <c r="J35" s="4" t="n">
        <v>0</v>
      </c>
      <c r="K35" s="4" t="n">
        <v>1966</v>
      </c>
      <c r="L35" s="4" t="n">
        <v>1966</v>
      </c>
      <c r="M35" s="4" t="s">
        <v>371</v>
      </c>
    </row>
    <row r="36" customFormat="false" ht="15" hidden="false" customHeight="false" outlineLevel="0" collapsed="false">
      <c r="A36" s="2" t="s">
        <v>372</v>
      </c>
      <c r="B36" s="4" t="s">
        <v>304</v>
      </c>
      <c r="C36" s="4" t="n">
        <v>5</v>
      </c>
      <c r="D36" s="4" t="n">
        <v>5</v>
      </c>
      <c r="E36" s="4" t="n">
        <v>1</v>
      </c>
      <c r="F36" s="4" t="n">
        <v>5</v>
      </c>
      <c r="G36" s="4" t="n">
        <v>0</v>
      </c>
      <c r="H36" s="4" t="n">
        <v>0</v>
      </c>
      <c r="I36" s="4" t="n">
        <v>0</v>
      </c>
      <c r="J36" s="4" t="n">
        <v>0</v>
      </c>
      <c r="K36" s="4" t="n">
        <v>1949</v>
      </c>
      <c r="L36" s="4" t="n">
        <v>1969</v>
      </c>
      <c r="M36" s="4" t="s">
        <v>373</v>
      </c>
    </row>
    <row r="37" customFormat="false" ht="15" hidden="false" customHeight="false" outlineLevel="0" collapsed="false">
      <c r="A37" s="2" t="s">
        <v>374</v>
      </c>
      <c r="B37" s="4" t="s">
        <v>304</v>
      </c>
      <c r="C37" s="4" t="n">
        <v>5</v>
      </c>
      <c r="D37" s="4" t="n">
        <v>5</v>
      </c>
      <c r="E37" s="4" t="n">
        <v>1</v>
      </c>
      <c r="F37" s="4" t="n">
        <v>5</v>
      </c>
      <c r="G37" s="4" t="n">
        <v>0</v>
      </c>
      <c r="H37" s="4" t="n">
        <v>0</v>
      </c>
      <c r="I37" s="4" t="n">
        <v>0</v>
      </c>
      <c r="J37" s="4" t="n">
        <v>0</v>
      </c>
      <c r="K37" s="4"/>
      <c r="L37" s="4"/>
      <c r="M37" s="4" t="s">
        <v>375</v>
      </c>
    </row>
    <row r="38" customFormat="false" ht="15" hidden="false" customHeight="false" outlineLevel="0" collapsed="false">
      <c r="A38" s="2" t="s">
        <v>376</v>
      </c>
      <c r="B38" s="4" t="s">
        <v>304</v>
      </c>
      <c r="C38" s="4" t="n">
        <v>4</v>
      </c>
      <c r="D38" s="4" t="n">
        <v>23</v>
      </c>
      <c r="E38" s="4" t="n">
        <v>2</v>
      </c>
      <c r="F38" s="4" t="n">
        <v>2</v>
      </c>
      <c r="G38" s="4" t="n">
        <v>0</v>
      </c>
      <c r="H38" s="4" t="n">
        <v>0</v>
      </c>
      <c r="I38" s="4" t="n">
        <v>2</v>
      </c>
      <c r="J38" s="4" t="n">
        <v>0</v>
      </c>
      <c r="K38" s="4" t="n">
        <v>1978</v>
      </c>
      <c r="L38" s="4" t="n">
        <v>2004</v>
      </c>
      <c r="M38" s="4" t="s">
        <v>377</v>
      </c>
    </row>
    <row r="39" customFormat="false" ht="15" hidden="false" customHeight="false" outlineLevel="0" collapsed="false">
      <c r="A39" s="2" t="s">
        <v>378</v>
      </c>
      <c r="B39" s="4" t="s">
        <v>304</v>
      </c>
      <c r="C39" s="4" t="n">
        <v>4</v>
      </c>
      <c r="D39" s="4" t="n">
        <v>20</v>
      </c>
      <c r="E39" s="4" t="n">
        <v>1</v>
      </c>
      <c r="F39" s="4" t="n">
        <v>4</v>
      </c>
      <c r="G39" s="4" t="n">
        <v>0</v>
      </c>
      <c r="H39" s="4" t="n">
        <v>0</v>
      </c>
      <c r="I39" s="4" t="n">
        <v>0</v>
      </c>
      <c r="J39" s="4" t="n">
        <v>0</v>
      </c>
      <c r="K39" s="4" t="n">
        <v>1965</v>
      </c>
      <c r="L39" s="4" t="n">
        <v>1965</v>
      </c>
      <c r="M39" s="4" t="s">
        <v>379</v>
      </c>
    </row>
    <row r="40" customFormat="false" ht="15" hidden="false" customHeight="false" outlineLevel="0" collapsed="false">
      <c r="A40" s="2" t="s">
        <v>380</v>
      </c>
      <c r="B40" s="4" t="s">
        <v>381</v>
      </c>
      <c r="C40" s="4" t="n">
        <v>4</v>
      </c>
      <c r="D40" s="4" t="n">
        <v>6</v>
      </c>
      <c r="E40" s="4" t="n">
        <v>1</v>
      </c>
      <c r="F40" s="4" t="n">
        <v>1</v>
      </c>
      <c r="G40" s="4" t="n">
        <v>0</v>
      </c>
      <c r="H40" s="4" t="n">
        <v>3</v>
      </c>
      <c r="I40" s="4" t="n">
        <v>0</v>
      </c>
      <c r="J40" s="4" t="n">
        <v>0</v>
      </c>
      <c r="K40" s="4" t="n">
        <v>1996</v>
      </c>
      <c r="L40" s="4" t="n">
        <v>2001</v>
      </c>
      <c r="M40" s="4" t="s">
        <v>382</v>
      </c>
    </row>
    <row r="41" customFormat="false" ht="23.85" hidden="false" customHeight="false" outlineLevel="0" collapsed="false">
      <c r="A41" s="2" t="s">
        <v>383</v>
      </c>
      <c r="B41" s="4" t="s">
        <v>304</v>
      </c>
      <c r="C41" s="4" t="n">
        <v>4</v>
      </c>
      <c r="D41" s="4" t="n">
        <v>4</v>
      </c>
      <c r="E41" s="4" t="n">
        <v>1</v>
      </c>
      <c r="F41" s="4" t="n">
        <v>4</v>
      </c>
      <c r="G41" s="4" t="n">
        <v>0</v>
      </c>
      <c r="H41" s="4" t="n">
        <v>0</v>
      </c>
      <c r="I41" s="4" t="n">
        <v>0</v>
      </c>
      <c r="J41" s="4" t="n">
        <v>0</v>
      </c>
      <c r="K41" s="4" t="n">
        <v>2008</v>
      </c>
      <c r="L41" s="4" t="n">
        <v>2008</v>
      </c>
      <c r="M41" s="4" t="s">
        <v>384</v>
      </c>
    </row>
    <row r="42" customFormat="false" ht="15" hidden="false" customHeight="false" outlineLevel="0" collapsed="false">
      <c r="A42" s="2" t="s">
        <v>385</v>
      </c>
      <c r="B42" s="4" t="s">
        <v>304</v>
      </c>
      <c r="C42" s="4" t="n">
        <v>4</v>
      </c>
      <c r="D42" s="4" t="n">
        <v>4</v>
      </c>
      <c r="E42" s="4" t="n">
        <v>1</v>
      </c>
      <c r="F42" s="4" t="n">
        <v>4</v>
      </c>
      <c r="G42" s="4" t="n">
        <v>0</v>
      </c>
      <c r="H42" s="4" t="n">
        <v>0</v>
      </c>
      <c r="I42" s="4" t="n">
        <v>0</v>
      </c>
      <c r="J42" s="4" t="n">
        <v>0</v>
      </c>
      <c r="K42" s="4" t="n">
        <v>1938</v>
      </c>
      <c r="L42" s="4" t="n">
        <v>1938</v>
      </c>
      <c r="M42" s="4" t="s">
        <v>386</v>
      </c>
    </row>
    <row r="43" customFormat="false" ht="15" hidden="false" customHeight="false" outlineLevel="0" collapsed="false">
      <c r="A43" s="2" t="s">
        <v>387</v>
      </c>
      <c r="B43" s="4" t="s">
        <v>304</v>
      </c>
      <c r="C43" s="4" t="n">
        <v>3</v>
      </c>
      <c r="D43" s="4" t="n">
        <v>4</v>
      </c>
      <c r="E43" s="4" t="n">
        <v>2</v>
      </c>
      <c r="F43" s="4" t="n">
        <v>3</v>
      </c>
      <c r="G43" s="4" t="n">
        <v>0</v>
      </c>
      <c r="H43" s="4" t="n">
        <v>0</v>
      </c>
      <c r="I43" s="4" t="n">
        <v>0</v>
      </c>
      <c r="J43" s="4" t="n">
        <v>0</v>
      </c>
      <c r="K43" s="4" t="n">
        <v>1973</v>
      </c>
      <c r="L43" s="4" t="n">
        <v>1992</v>
      </c>
      <c r="M43" s="4" t="s">
        <v>388</v>
      </c>
    </row>
    <row r="44" customFormat="false" ht="15" hidden="false" customHeight="false" outlineLevel="0" collapsed="false">
      <c r="A44" s="2" t="s">
        <v>389</v>
      </c>
      <c r="B44" s="4" t="s">
        <v>304</v>
      </c>
      <c r="C44" s="4" t="n">
        <v>3</v>
      </c>
      <c r="D44" s="4" t="n">
        <v>3</v>
      </c>
      <c r="E44" s="4" t="n">
        <v>1</v>
      </c>
      <c r="F44" s="4" t="n">
        <v>3</v>
      </c>
      <c r="G44" s="4" t="n">
        <v>0</v>
      </c>
      <c r="H44" s="4" t="n">
        <v>0</v>
      </c>
      <c r="I44" s="4" t="n">
        <v>0</v>
      </c>
      <c r="J44" s="4" t="n">
        <v>0</v>
      </c>
      <c r="K44" s="4" t="n">
        <v>1965</v>
      </c>
      <c r="L44" s="4" t="n">
        <v>1965</v>
      </c>
      <c r="M44" s="4" t="s">
        <v>390</v>
      </c>
    </row>
    <row r="45" customFormat="false" ht="15" hidden="false" customHeight="false" outlineLevel="0" collapsed="false">
      <c r="A45" s="2" t="s">
        <v>391</v>
      </c>
      <c r="B45" s="4" t="s">
        <v>304</v>
      </c>
      <c r="C45" s="4" t="n">
        <v>2</v>
      </c>
      <c r="D45" s="4" t="n">
        <v>6</v>
      </c>
      <c r="E45" s="4" t="n">
        <v>1</v>
      </c>
      <c r="F45" s="4" t="n">
        <v>2</v>
      </c>
      <c r="G45" s="4" t="n">
        <v>0</v>
      </c>
      <c r="H45" s="4" t="n">
        <v>0</v>
      </c>
      <c r="I45" s="4" t="n">
        <v>0</v>
      </c>
      <c r="J45" s="4" t="n">
        <v>0</v>
      </c>
      <c r="K45" s="4" t="n">
        <v>1966</v>
      </c>
      <c r="L45" s="4" t="n">
        <v>1966</v>
      </c>
      <c r="M45" s="4" t="s">
        <v>392</v>
      </c>
    </row>
    <row r="46" customFormat="false" ht="15" hidden="false" customHeight="false" outlineLevel="0" collapsed="false">
      <c r="A46" s="2" t="s">
        <v>393</v>
      </c>
      <c r="B46" s="4" t="s">
        <v>394</v>
      </c>
      <c r="C46" s="4" t="n">
        <v>2</v>
      </c>
      <c r="D46" s="4" t="n">
        <v>3</v>
      </c>
      <c r="E46" s="4" t="n">
        <v>1</v>
      </c>
      <c r="F46" s="4" t="n">
        <v>0</v>
      </c>
      <c r="G46" s="4" t="n">
        <v>0</v>
      </c>
      <c r="H46" s="4" t="n">
        <v>0</v>
      </c>
      <c r="I46" s="4" t="n">
        <v>0</v>
      </c>
      <c r="J46" s="4" t="n">
        <v>2</v>
      </c>
      <c r="K46" s="4" t="n">
        <v>2001</v>
      </c>
      <c r="L46" s="4" t="n">
        <v>2006</v>
      </c>
      <c r="M46" s="4" t="s">
        <v>395</v>
      </c>
    </row>
    <row r="47" customFormat="false" ht="15" hidden="false" customHeight="false" outlineLevel="0" collapsed="false">
      <c r="A47" s="2" t="s">
        <v>396</v>
      </c>
      <c r="B47" s="4" t="s">
        <v>397</v>
      </c>
      <c r="C47" s="4" t="n">
        <v>2</v>
      </c>
      <c r="D47" s="4" t="n">
        <v>2</v>
      </c>
      <c r="E47" s="4" t="n">
        <v>1</v>
      </c>
      <c r="F47" s="4" t="n">
        <v>0</v>
      </c>
      <c r="G47" s="4" t="n">
        <v>2</v>
      </c>
      <c r="H47" s="4" t="n">
        <v>0</v>
      </c>
      <c r="I47" s="4" t="n">
        <v>0</v>
      </c>
      <c r="J47" s="4" t="n">
        <v>0</v>
      </c>
      <c r="K47" s="4" t="n">
        <v>2016</v>
      </c>
      <c r="L47" s="4" t="n">
        <v>2016</v>
      </c>
      <c r="M47" s="4" t="s">
        <v>398</v>
      </c>
    </row>
    <row r="48" customFormat="false" ht="15" hidden="false" customHeight="false" outlineLevel="0" collapsed="false">
      <c r="A48" s="2" t="s">
        <v>399</v>
      </c>
      <c r="B48" s="4" t="s">
        <v>304</v>
      </c>
      <c r="C48" s="4" t="n">
        <v>2</v>
      </c>
      <c r="D48" s="4" t="n">
        <v>2</v>
      </c>
      <c r="E48" s="4" t="n">
        <v>1</v>
      </c>
      <c r="F48" s="4" t="n">
        <v>0</v>
      </c>
      <c r="G48" s="4" t="n">
        <v>2</v>
      </c>
      <c r="H48" s="4" t="n">
        <v>0</v>
      </c>
      <c r="I48" s="4" t="n">
        <v>0</v>
      </c>
      <c r="J48" s="4" t="n">
        <v>0</v>
      </c>
      <c r="K48" s="4" t="n">
        <v>2004</v>
      </c>
      <c r="L48" s="4" t="n">
        <v>2010</v>
      </c>
      <c r="M48" s="4" t="s">
        <v>400</v>
      </c>
    </row>
    <row r="49" customFormat="false" ht="23.85" hidden="false" customHeight="false" outlineLevel="0" collapsed="false">
      <c r="A49" s="2" t="s">
        <v>401</v>
      </c>
      <c r="B49" s="4" t="s">
        <v>304</v>
      </c>
      <c r="C49" s="4" t="n">
        <v>2</v>
      </c>
      <c r="D49" s="4" t="n">
        <v>2</v>
      </c>
      <c r="E49" s="4" t="n">
        <v>1</v>
      </c>
      <c r="F49" s="4" t="n">
        <v>2</v>
      </c>
      <c r="G49" s="4" t="n">
        <v>0</v>
      </c>
      <c r="H49" s="4" t="n">
        <v>0</v>
      </c>
      <c r="I49" s="4" t="n">
        <v>0</v>
      </c>
      <c r="J49" s="4" t="n">
        <v>0</v>
      </c>
      <c r="K49" s="4" t="n">
        <v>1960</v>
      </c>
      <c r="L49" s="4" t="n">
        <v>1960</v>
      </c>
      <c r="M49" s="4" t="s">
        <v>402</v>
      </c>
    </row>
    <row r="50" customFormat="false" ht="15" hidden="false" customHeight="false" outlineLevel="0" collapsed="false">
      <c r="A50" s="2" t="s">
        <v>403</v>
      </c>
      <c r="B50" s="4" t="s">
        <v>404</v>
      </c>
      <c r="C50" s="4" t="n">
        <v>2</v>
      </c>
      <c r="D50" s="4" t="n">
        <v>2</v>
      </c>
      <c r="E50" s="4" t="n">
        <v>1</v>
      </c>
      <c r="F50" s="4" t="n">
        <v>0</v>
      </c>
      <c r="G50" s="4" t="n">
        <v>2</v>
      </c>
      <c r="H50" s="4" t="n">
        <v>0</v>
      </c>
      <c r="I50" s="4" t="n">
        <v>0</v>
      </c>
      <c r="J50" s="4" t="n">
        <v>0</v>
      </c>
      <c r="K50" s="4" t="n">
        <v>2018</v>
      </c>
      <c r="L50" s="4" t="n">
        <v>2018</v>
      </c>
      <c r="M50" s="4" t="s">
        <v>405</v>
      </c>
    </row>
    <row r="51" customFormat="false" ht="15" hidden="false" customHeight="false" outlineLevel="0" collapsed="false">
      <c r="A51" s="2" t="s">
        <v>406</v>
      </c>
      <c r="B51" s="4" t="s">
        <v>304</v>
      </c>
      <c r="C51" s="4" t="n">
        <v>1</v>
      </c>
      <c r="D51" s="4" t="n">
        <v>265</v>
      </c>
      <c r="E51" s="4" t="n">
        <v>1</v>
      </c>
      <c r="F51" s="4" t="n">
        <v>0</v>
      </c>
      <c r="G51" s="4" t="n">
        <v>1</v>
      </c>
      <c r="H51" s="4" t="n">
        <v>0</v>
      </c>
      <c r="I51" s="4" t="n">
        <v>0</v>
      </c>
      <c r="J51" s="4" t="n">
        <v>0</v>
      </c>
      <c r="K51" s="4"/>
      <c r="L51" s="4"/>
      <c r="M51" s="4" t="s">
        <v>407</v>
      </c>
    </row>
    <row r="52" customFormat="false" ht="15" hidden="false" customHeight="false" outlineLevel="0" collapsed="false">
      <c r="A52" s="2" t="s">
        <v>408</v>
      </c>
      <c r="B52" s="4" t="s">
        <v>304</v>
      </c>
      <c r="C52" s="4" t="n">
        <v>1</v>
      </c>
      <c r="D52" s="4" t="n">
        <v>12</v>
      </c>
      <c r="E52" s="4" t="n">
        <v>1</v>
      </c>
      <c r="F52" s="4" t="n">
        <v>1</v>
      </c>
      <c r="G52" s="4" t="n">
        <v>0</v>
      </c>
      <c r="H52" s="4" t="n">
        <v>0</v>
      </c>
      <c r="I52" s="4" t="n">
        <v>0</v>
      </c>
      <c r="J52" s="4" t="n">
        <v>0</v>
      </c>
      <c r="K52" s="4" t="n">
        <v>1924</v>
      </c>
      <c r="L52" s="4" t="n">
        <v>1924</v>
      </c>
      <c r="M52" s="4" t="s">
        <v>409</v>
      </c>
    </row>
    <row r="53" customFormat="false" ht="15" hidden="false" customHeight="false" outlineLevel="0" collapsed="false">
      <c r="A53" s="2" t="s">
        <v>410</v>
      </c>
      <c r="B53" s="4" t="s">
        <v>304</v>
      </c>
      <c r="C53" s="4" t="n">
        <v>1</v>
      </c>
      <c r="D53" s="4" t="n">
        <v>7</v>
      </c>
      <c r="E53" s="4" t="n">
        <v>1</v>
      </c>
      <c r="F53" s="4" t="n">
        <v>1</v>
      </c>
      <c r="G53" s="4" t="n">
        <v>0</v>
      </c>
      <c r="H53" s="4" t="n">
        <v>0</v>
      </c>
      <c r="I53" s="4" t="n">
        <v>0</v>
      </c>
      <c r="J53" s="4" t="n">
        <v>0</v>
      </c>
      <c r="K53" s="4" t="n">
        <v>1980</v>
      </c>
      <c r="L53" s="4" t="n">
        <v>1980</v>
      </c>
      <c r="M53" s="4" t="s">
        <v>411</v>
      </c>
    </row>
    <row r="54" customFormat="false" ht="15" hidden="false" customHeight="false" outlineLevel="0" collapsed="false">
      <c r="A54" s="2" t="s">
        <v>412</v>
      </c>
      <c r="B54" s="4" t="s">
        <v>304</v>
      </c>
      <c r="C54" s="4" t="n">
        <v>1</v>
      </c>
      <c r="D54" s="4" t="n">
        <v>6</v>
      </c>
      <c r="E54" s="4" t="n">
        <v>1</v>
      </c>
      <c r="F54" s="4" t="n">
        <v>1</v>
      </c>
      <c r="G54" s="4" t="n">
        <v>0</v>
      </c>
      <c r="H54" s="4" t="n">
        <v>0</v>
      </c>
      <c r="I54" s="4" t="n">
        <v>0</v>
      </c>
      <c r="J54" s="4" t="n">
        <v>0</v>
      </c>
      <c r="K54" s="4" t="n">
        <v>1957</v>
      </c>
      <c r="L54" s="4" t="n">
        <v>1957</v>
      </c>
      <c r="M54" s="4" t="s">
        <v>413</v>
      </c>
    </row>
    <row r="55" customFormat="false" ht="15" hidden="false" customHeight="false" outlineLevel="0" collapsed="false">
      <c r="A55" s="2" t="s">
        <v>414</v>
      </c>
      <c r="B55" s="4" t="s">
        <v>304</v>
      </c>
      <c r="C55" s="4" t="n">
        <v>1</v>
      </c>
      <c r="D55" s="4" t="n">
        <v>3</v>
      </c>
      <c r="E55" s="4" t="n">
        <v>1</v>
      </c>
      <c r="F55" s="4" t="n">
        <v>1</v>
      </c>
      <c r="G55" s="4" t="n">
        <v>0</v>
      </c>
      <c r="H55" s="4" t="n">
        <v>0</v>
      </c>
      <c r="I55" s="4" t="n">
        <v>0</v>
      </c>
      <c r="J55" s="4" t="n">
        <v>0</v>
      </c>
      <c r="K55" s="4" t="n">
        <v>2007</v>
      </c>
      <c r="L55" s="4" t="n">
        <v>2007</v>
      </c>
      <c r="M55" s="4" t="s">
        <v>415</v>
      </c>
    </row>
    <row r="56" customFormat="false" ht="15" hidden="false" customHeight="false" outlineLevel="0" collapsed="false">
      <c r="A56" s="2" t="s">
        <v>416</v>
      </c>
      <c r="B56" s="4" t="s">
        <v>304</v>
      </c>
      <c r="C56" s="4" t="n">
        <v>1</v>
      </c>
      <c r="D56" s="4" t="n">
        <v>3</v>
      </c>
      <c r="E56" s="4" t="n">
        <v>1</v>
      </c>
      <c r="F56" s="4" t="n">
        <v>1</v>
      </c>
      <c r="G56" s="4" t="n">
        <v>0</v>
      </c>
      <c r="H56" s="4" t="n">
        <v>0</v>
      </c>
      <c r="I56" s="4" t="n">
        <v>0</v>
      </c>
      <c r="J56" s="4" t="n">
        <v>0</v>
      </c>
      <c r="K56" s="4" t="n">
        <v>1932</v>
      </c>
      <c r="L56" s="4" t="n">
        <v>1932</v>
      </c>
      <c r="M56" s="4" t="s">
        <v>417</v>
      </c>
    </row>
    <row r="57" customFormat="false" ht="23.85" hidden="false" customHeight="false" outlineLevel="0" collapsed="false">
      <c r="A57" s="2" t="s">
        <v>418</v>
      </c>
      <c r="B57" s="4" t="s">
        <v>419</v>
      </c>
      <c r="C57" s="4" t="n">
        <v>1</v>
      </c>
      <c r="D57" s="4" t="n">
        <v>3</v>
      </c>
      <c r="E57" s="4" t="n">
        <v>1</v>
      </c>
      <c r="F57" s="4" t="n">
        <v>1</v>
      </c>
      <c r="G57" s="4" t="n">
        <v>0</v>
      </c>
      <c r="H57" s="4" t="n">
        <v>0</v>
      </c>
      <c r="I57" s="4" t="n">
        <v>0</v>
      </c>
      <c r="J57" s="4" t="n">
        <v>0</v>
      </c>
      <c r="K57" s="4"/>
      <c r="L57" s="4"/>
      <c r="M57" s="4" t="s">
        <v>420</v>
      </c>
    </row>
    <row r="58" customFormat="false" ht="15" hidden="false" customHeight="false" outlineLevel="0" collapsed="false">
      <c r="A58" s="2" t="s">
        <v>421</v>
      </c>
      <c r="B58" s="4" t="s">
        <v>304</v>
      </c>
      <c r="C58" s="4" t="n">
        <v>1</v>
      </c>
      <c r="D58" s="4" t="n">
        <v>2</v>
      </c>
      <c r="E58" s="4" t="n">
        <v>1</v>
      </c>
      <c r="F58" s="4" t="n">
        <v>1</v>
      </c>
      <c r="G58" s="4" t="n">
        <v>0</v>
      </c>
      <c r="H58" s="4" t="n">
        <v>0</v>
      </c>
      <c r="I58" s="4" t="n">
        <v>0</v>
      </c>
      <c r="J58" s="4" t="n">
        <v>0</v>
      </c>
      <c r="K58" s="4" t="n">
        <v>2019</v>
      </c>
      <c r="L58" s="4" t="n">
        <v>2019</v>
      </c>
      <c r="M58" s="4" t="s">
        <v>422</v>
      </c>
    </row>
    <row r="59" customFormat="false" ht="23.85" hidden="false" customHeight="false" outlineLevel="0" collapsed="false">
      <c r="A59" s="2" t="s">
        <v>423</v>
      </c>
      <c r="B59" s="4" t="s">
        <v>304</v>
      </c>
      <c r="C59" s="4" t="n">
        <v>1</v>
      </c>
      <c r="D59" s="4" t="n">
        <v>1</v>
      </c>
      <c r="E59" s="4" t="n">
        <v>1</v>
      </c>
      <c r="F59" s="4" t="n">
        <v>1</v>
      </c>
      <c r="G59" s="4" t="n">
        <v>0</v>
      </c>
      <c r="H59" s="4" t="n">
        <v>0</v>
      </c>
      <c r="I59" s="4" t="n">
        <v>0</v>
      </c>
      <c r="J59" s="4" t="n">
        <v>0</v>
      </c>
      <c r="K59" s="4" t="n">
        <v>1959</v>
      </c>
      <c r="L59" s="4" t="n">
        <v>1959</v>
      </c>
      <c r="M59" s="4" t="s">
        <v>424</v>
      </c>
    </row>
    <row r="60" customFormat="false" ht="15" hidden="false" customHeight="false" outlineLevel="0" collapsed="false">
      <c r="A60" s="2" t="s">
        <v>425</v>
      </c>
      <c r="B60" s="4" t="s">
        <v>404</v>
      </c>
      <c r="C60" s="4" t="n">
        <v>1</v>
      </c>
      <c r="D60" s="4" t="n">
        <v>1</v>
      </c>
      <c r="E60" s="4" t="n">
        <v>1</v>
      </c>
      <c r="F60" s="4" t="n">
        <v>1</v>
      </c>
      <c r="G60" s="4" t="n">
        <v>0</v>
      </c>
      <c r="H60" s="4" t="n">
        <v>0</v>
      </c>
      <c r="I60" s="4" t="n">
        <v>0</v>
      </c>
      <c r="J60" s="4" t="n">
        <v>0</v>
      </c>
      <c r="K60" s="4" t="n">
        <v>1957</v>
      </c>
      <c r="L60" s="4" t="n">
        <v>1957</v>
      </c>
      <c r="M60" s="4" t="s">
        <v>426</v>
      </c>
    </row>
    <row r="61" customFormat="false" ht="15" hidden="false" customHeight="false" outlineLevel="0" collapsed="false">
      <c r="A61" s="2" t="s">
        <v>427</v>
      </c>
      <c r="B61" s="4" t="s">
        <v>304</v>
      </c>
      <c r="C61" s="4" t="n">
        <v>1</v>
      </c>
      <c r="D61" s="4" t="n">
        <v>1</v>
      </c>
      <c r="E61" s="4" t="n">
        <v>1</v>
      </c>
      <c r="F61" s="4" t="n">
        <v>1</v>
      </c>
      <c r="G61" s="4" t="n">
        <v>0</v>
      </c>
      <c r="H61" s="4" t="n">
        <v>0</v>
      </c>
      <c r="I61" s="4" t="n">
        <v>0</v>
      </c>
      <c r="J61" s="4" t="n">
        <v>0</v>
      </c>
      <c r="K61" s="4" t="n">
        <v>1992</v>
      </c>
      <c r="L61" s="4" t="n">
        <v>1992</v>
      </c>
      <c r="M61" s="4" t="s">
        <v>428</v>
      </c>
    </row>
    <row r="62" customFormat="false" ht="15" hidden="false" customHeight="false" outlineLevel="0" collapsed="false">
      <c r="A62" s="2" t="s">
        <v>429</v>
      </c>
      <c r="B62" s="4" t="s">
        <v>304</v>
      </c>
      <c r="C62" s="4" t="n">
        <v>1</v>
      </c>
      <c r="D62" s="4" t="n">
        <v>1</v>
      </c>
      <c r="E62" s="4" t="n">
        <v>1</v>
      </c>
      <c r="F62" s="4" t="n">
        <v>0</v>
      </c>
      <c r="G62" s="4" t="n">
        <v>1</v>
      </c>
      <c r="H62" s="4" t="n">
        <v>0</v>
      </c>
      <c r="I62" s="4" t="n">
        <v>0</v>
      </c>
      <c r="J62" s="4" t="n">
        <v>0</v>
      </c>
      <c r="K62" s="4" t="n">
        <v>2018</v>
      </c>
      <c r="L62" s="4" t="n">
        <v>2018</v>
      </c>
      <c r="M62" s="4" t="s">
        <v>430</v>
      </c>
    </row>
    <row r="63" customFormat="false" ht="15" hidden="false" customHeight="false" outlineLevel="0" collapsed="false">
      <c r="A63" s="2" t="s">
        <v>431</v>
      </c>
      <c r="B63" s="4" t="s">
        <v>304</v>
      </c>
      <c r="C63" s="4" t="n">
        <v>1</v>
      </c>
      <c r="D63" s="4" t="n">
        <v>1</v>
      </c>
      <c r="E63" s="4" t="n">
        <v>1</v>
      </c>
      <c r="F63" s="4" t="n">
        <v>1</v>
      </c>
      <c r="G63" s="4" t="n">
        <v>0</v>
      </c>
      <c r="H63" s="4" t="n">
        <v>0</v>
      </c>
      <c r="I63" s="4" t="n">
        <v>0</v>
      </c>
      <c r="J63" s="4" t="n">
        <v>0</v>
      </c>
      <c r="K63" s="4" t="n">
        <v>1966</v>
      </c>
      <c r="L63" s="4" t="n">
        <v>1966</v>
      </c>
      <c r="M63" s="4" t="s">
        <v>432</v>
      </c>
    </row>
    <row r="64" customFormat="false" ht="15" hidden="false" customHeight="false" outlineLevel="0" collapsed="false">
      <c r="A64" s="2" t="s">
        <v>433</v>
      </c>
      <c r="B64" s="4" t="s">
        <v>346</v>
      </c>
      <c r="C64" s="4" t="n">
        <v>1</v>
      </c>
      <c r="D64" s="4" t="n">
        <v>1</v>
      </c>
      <c r="E64" s="4" t="n">
        <v>1</v>
      </c>
      <c r="F64" s="4" t="n">
        <v>1</v>
      </c>
      <c r="G64" s="4" t="n">
        <v>0</v>
      </c>
      <c r="H64" s="4" t="n">
        <v>0</v>
      </c>
      <c r="I64" s="4" t="n">
        <v>0</v>
      </c>
      <c r="J64" s="4" t="n">
        <v>0</v>
      </c>
      <c r="K64" s="4" t="n">
        <v>1970</v>
      </c>
      <c r="L64" s="4" t="n">
        <v>1970</v>
      </c>
      <c r="M64" s="4" t="s">
        <v>434</v>
      </c>
    </row>
    <row r="65" customFormat="false" ht="15" hidden="false" customHeight="false" outlineLevel="0" collapsed="false">
      <c r="A65" s="2" t="s">
        <v>435</v>
      </c>
      <c r="B65" s="4" t="s">
        <v>304</v>
      </c>
      <c r="C65" s="4" t="n">
        <v>0</v>
      </c>
      <c r="D65" s="4" t="n">
        <v>8137</v>
      </c>
      <c r="E65" s="4" t="n">
        <v>0</v>
      </c>
      <c r="F65" s="4"/>
      <c r="G65" s="4"/>
      <c r="H65" s="4"/>
      <c r="I65" s="4"/>
      <c r="J65" s="4"/>
      <c r="K65" s="4"/>
      <c r="L65" s="4"/>
      <c r="M65" s="4" t="s">
        <v>436</v>
      </c>
    </row>
    <row r="66" customFormat="false" ht="15" hidden="false" customHeight="false" outlineLevel="0" collapsed="false">
      <c r="A66" s="2" t="s">
        <v>437</v>
      </c>
      <c r="B66" s="4" t="s">
        <v>304</v>
      </c>
      <c r="C66" s="4" t="n">
        <v>0</v>
      </c>
      <c r="D66" s="4" t="n">
        <v>166</v>
      </c>
      <c r="E66" s="4" t="n">
        <v>0</v>
      </c>
      <c r="F66" s="4"/>
      <c r="G66" s="4"/>
      <c r="H66" s="4"/>
      <c r="I66" s="4"/>
      <c r="J66" s="4"/>
      <c r="K66" s="4"/>
      <c r="L66" s="4"/>
      <c r="M66" s="4" t="s">
        <v>438</v>
      </c>
    </row>
    <row r="67" customFormat="false" ht="15" hidden="false" customHeight="false" outlineLevel="0" collapsed="false">
      <c r="A67" s="2" t="s">
        <v>439</v>
      </c>
      <c r="B67" s="4" t="s">
        <v>304</v>
      </c>
      <c r="C67" s="4" t="n">
        <v>0</v>
      </c>
      <c r="D67" s="4" t="n">
        <v>61</v>
      </c>
      <c r="E67" s="4" t="n">
        <v>0</v>
      </c>
      <c r="F67" s="4"/>
      <c r="G67" s="4"/>
      <c r="H67" s="4"/>
      <c r="I67" s="4"/>
      <c r="J67" s="4"/>
      <c r="K67" s="4"/>
      <c r="L67" s="4"/>
      <c r="M67" s="4" t="s">
        <v>440</v>
      </c>
    </row>
    <row r="68" customFormat="false" ht="15" hidden="false" customHeight="false" outlineLevel="0" collapsed="false">
      <c r="A68" s="2" t="s">
        <v>441</v>
      </c>
      <c r="B68" s="4" t="s">
        <v>304</v>
      </c>
      <c r="C68" s="4" t="n">
        <v>0</v>
      </c>
      <c r="D68" s="4" t="n">
        <v>26</v>
      </c>
      <c r="E68" s="4" t="n">
        <v>0</v>
      </c>
      <c r="F68" s="4"/>
      <c r="G68" s="4"/>
      <c r="H68" s="4"/>
      <c r="I68" s="4"/>
      <c r="J68" s="4"/>
      <c r="K68" s="4"/>
      <c r="L68" s="4"/>
      <c r="M68" s="4" t="s">
        <v>442</v>
      </c>
    </row>
    <row r="69" customFormat="false" ht="15" hidden="false" customHeight="false" outlineLevel="0" collapsed="false">
      <c r="A69" s="2" t="s">
        <v>443</v>
      </c>
      <c r="B69" s="4" t="s">
        <v>304</v>
      </c>
      <c r="C69" s="4" t="n">
        <v>0</v>
      </c>
      <c r="D69" s="4" t="n">
        <v>20</v>
      </c>
      <c r="E69" s="4" t="n">
        <v>0</v>
      </c>
      <c r="F69" s="4"/>
      <c r="G69" s="4"/>
      <c r="H69" s="4"/>
      <c r="I69" s="4"/>
      <c r="J69" s="4"/>
      <c r="K69" s="4"/>
      <c r="L69" s="4"/>
      <c r="M69" s="4" t="s">
        <v>444</v>
      </c>
    </row>
    <row r="70" customFormat="false" ht="15" hidden="false" customHeight="false" outlineLevel="0" collapsed="false">
      <c r="A70" s="2" t="s">
        <v>445</v>
      </c>
      <c r="B70" s="4" t="s">
        <v>304</v>
      </c>
      <c r="C70" s="4" t="n">
        <v>0</v>
      </c>
      <c r="D70" s="4" t="n">
        <v>16</v>
      </c>
      <c r="E70" s="4" t="n">
        <v>0</v>
      </c>
      <c r="F70" s="4"/>
      <c r="G70" s="4"/>
      <c r="H70" s="4"/>
      <c r="I70" s="4"/>
      <c r="J70" s="4"/>
      <c r="K70" s="4"/>
      <c r="L70" s="4"/>
      <c r="M70" s="4" t="s">
        <v>446</v>
      </c>
    </row>
    <row r="71" customFormat="false" ht="15" hidden="false" customHeight="false" outlineLevel="0" collapsed="false">
      <c r="A71" s="2" t="s">
        <v>447</v>
      </c>
      <c r="B71" s="4" t="s">
        <v>304</v>
      </c>
      <c r="C71" s="4" t="n">
        <v>0</v>
      </c>
      <c r="D71" s="4" t="n">
        <v>6</v>
      </c>
      <c r="E71" s="4" t="n">
        <v>0</v>
      </c>
      <c r="F71" s="4"/>
      <c r="G71" s="4"/>
      <c r="H71" s="4"/>
      <c r="I71" s="4"/>
      <c r="J71" s="4"/>
      <c r="K71" s="4"/>
      <c r="L71" s="4"/>
      <c r="M71" s="4" t="s">
        <v>448</v>
      </c>
    </row>
    <row r="72" customFormat="false" ht="23.85" hidden="false" customHeight="false" outlineLevel="0" collapsed="false">
      <c r="A72" s="2" t="s">
        <v>449</v>
      </c>
      <c r="B72" s="4" t="s">
        <v>304</v>
      </c>
      <c r="C72" s="4" t="n">
        <v>0</v>
      </c>
      <c r="D72" s="4" t="n">
        <v>3</v>
      </c>
      <c r="E72" s="4" t="n">
        <v>0</v>
      </c>
      <c r="F72" s="4"/>
      <c r="G72" s="4"/>
      <c r="H72" s="4"/>
      <c r="I72" s="4"/>
      <c r="J72" s="4"/>
      <c r="K72" s="4"/>
      <c r="L72" s="4"/>
      <c r="M72" s="4" t="s">
        <v>450</v>
      </c>
    </row>
    <row r="73" customFormat="false" ht="15" hidden="false" customHeight="false" outlineLevel="0" collapsed="false">
      <c r="A73" s="2" t="s">
        <v>451</v>
      </c>
      <c r="B73" s="4" t="s">
        <v>452</v>
      </c>
      <c r="C73" s="4" t="n">
        <v>0</v>
      </c>
      <c r="D73" s="4" t="n">
        <v>3</v>
      </c>
      <c r="E73" s="4" t="n">
        <v>0</v>
      </c>
      <c r="F73" s="4"/>
      <c r="G73" s="4"/>
      <c r="H73" s="4"/>
      <c r="I73" s="4"/>
      <c r="J73" s="4"/>
      <c r="K73" s="4"/>
      <c r="L73" s="4"/>
      <c r="M73" s="4" t="s">
        <v>453</v>
      </c>
    </row>
    <row r="74" customFormat="false" ht="15" hidden="false" customHeight="false" outlineLevel="0" collapsed="false">
      <c r="A74" s="2" t="s">
        <v>454</v>
      </c>
      <c r="B74" s="4" t="s">
        <v>304</v>
      </c>
      <c r="C74" s="4" t="n">
        <v>0</v>
      </c>
      <c r="D74" s="4" t="n">
        <v>2</v>
      </c>
      <c r="E74" s="4" t="n">
        <v>0</v>
      </c>
      <c r="F74" s="4"/>
      <c r="G74" s="4"/>
      <c r="H74" s="4"/>
      <c r="I74" s="4"/>
      <c r="J74" s="4"/>
      <c r="K74" s="4"/>
      <c r="L74" s="4"/>
      <c r="M74" s="4" t="s">
        <v>455</v>
      </c>
    </row>
    <row r="75" customFormat="false" ht="15" hidden="false" customHeight="false" outlineLevel="0" collapsed="false">
      <c r="A75" s="2" t="s">
        <v>456</v>
      </c>
      <c r="B75" s="4" t="s">
        <v>457</v>
      </c>
      <c r="C75" s="4" t="n">
        <v>0</v>
      </c>
      <c r="D75" s="4" t="n">
        <v>2</v>
      </c>
      <c r="E75" s="4" t="n">
        <v>0</v>
      </c>
      <c r="F75" s="4"/>
      <c r="G75" s="4"/>
      <c r="H75" s="4"/>
      <c r="I75" s="4"/>
      <c r="J75" s="4"/>
      <c r="K75" s="4"/>
      <c r="L75" s="4"/>
      <c r="M75" s="4" t="s">
        <v>458</v>
      </c>
    </row>
    <row r="76" customFormat="false" ht="15" hidden="false" customHeight="false" outlineLevel="0" collapsed="false">
      <c r="A76" s="2" t="s">
        <v>459</v>
      </c>
      <c r="B76" s="4" t="s">
        <v>304</v>
      </c>
      <c r="C76" s="4" t="n">
        <v>0</v>
      </c>
      <c r="D76" s="4" t="n">
        <v>2</v>
      </c>
      <c r="E76" s="4" t="n">
        <v>0</v>
      </c>
      <c r="F76" s="4"/>
      <c r="G76" s="4"/>
      <c r="H76" s="4"/>
      <c r="I76" s="4"/>
      <c r="J76" s="4"/>
      <c r="K76" s="4"/>
      <c r="L76" s="4"/>
      <c r="M76" s="4" t="s">
        <v>460</v>
      </c>
    </row>
    <row r="77" customFormat="false" ht="15" hidden="false" customHeight="false" outlineLevel="0" collapsed="false">
      <c r="A77" s="2" t="s">
        <v>461</v>
      </c>
      <c r="B77" s="4" t="s">
        <v>397</v>
      </c>
      <c r="C77" s="4" t="n">
        <v>0</v>
      </c>
      <c r="D77" s="4" t="n">
        <v>2</v>
      </c>
      <c r="E77" s="4" t="n">
        <v>0</v>
      </c>
      <c r="F77" s="4"/>
      <c r="G77" s="4"/>
      <c r="H77" s="4"/>
      <c r="I77" s="4"/>
      <c r="J77" s="4"/>
      <c r="K77" s="4"/>
      <c r="L77" s="4"/>
      <c r="M77" s="4" t="s">
        <v>462</v>
      </c>
    </row>
    <row r="78" customFormat="false" ht="15" hidden="false" customHeight="false" outlineLevel="0" collapsed="false">
      <c r="A78" s="2" t="s">
        <v>463</v>
      </c>
      <c r="B78" s="4" t="s">
        <v>464</v>
      </c>
      <c r="C78" s="4" t="n">
        <v>0</v>
      </c>
      <c r="D78" s="4" t="n">
        <v>2</v>
      </c>
      <c r="E78" s="4" t="n">
        <v>0</v>
      </c>
      <c r="F78" s="4"/>
      <c r="G78" s="4"/>
      <c r="H78" s="4"/>
      <c r="I78" s="4"/>
      <c r="J78" s="4"/>
      <c r="K78" s="4"/>
      <c r="L78" s="4"/>
      <c r="M78" s="4" t="s">
        <v>465</v>
      </c>
    </row>
    <row r="79" customFormat="false" ht="15" hidden="false" customHeight="false" outlineLevel="0" collapsed="false">
      <c r="A79" s="2" t="s">
        <v>466</v>
      </c>
      <c r="B79" s="4" t="s">
        <v>304</v>
      </c>
      <c r="C79" s="4" t="n">
        <v>0</v>
      </c>
      <c r="D79" s="4" t="n">
        <v>1</v>
      </c>
      <c r="E79" s="4" t="n">
        <v>0</v>
      </c>
      <c r="F79" s="4"/>
      <c r="G79" s="4"/>
      <c r="H79" s="4"/>
      <c r="I79" s="4"/>
      <c r="J79" s="4"/>
      <c r="K79" s="4"/>
      <c r="L79" s="4"/>
      <c r="M79" s="4" t="s">
        <v>467</v>
      </c>
    </row>
    <row r="80" customFormat="false" ht="15" hidden="false" customHeight="false" outlineLevel="0" collapsed="false">
      <c r="A80" s="2" t="s">
        <v>468</v>
      </c>
      <c r="B80" s="4" t="s">
        <v>397</v>
      </c>
      <c r="C80" s="4" t="n">
        <v>0</v>
      </c>
      <c r="D80" s="4" t="n">
        <v>1</v>
      </c>
      <c r="E80" s="4" t="n">
        <v>0</v>
      </c>
      <c r="F80" s="4"/>
      <c r="G80" s="4"/>
      <c r="H80" s="4"/>
      <c r="I80" s="4"/>
      <c r="J80" s="4"/>
      <c r="K80" s="4"/>
      <c r="L80" s="4"/>
      <c r="M80" s="4" t="s">
        <v>469</v>
      </c>
    </row>
    <row r="81" customFormat="false" ht="15" hidden="false" customHeight="false" outlineLevel="0" collapsed="false">
      <c r="A81" s="2" t="s">
        <v>470</v>
      </c>
      <c r="B81" s="4" t="s">
        <v>304</v>
      </c>
      <c r="C81" s="4" t="n">
        <v>0</v>
      </c>
      <c r="D81" s="4" t="n">
        <v>1</v>
      </c>
      <c r="E81" s="4" t="n">
        <v>0</v>
      </c>
      <c r="F81" s="4"/>
      <c r="G81" s="4"/>
      <c r="H81" s="4"/>
      <c r="I81" s="4"/>
      <c r="J81" s="4"/>
      <c r="K81" s="4"/>
      <c r="L81" s="4"/>
      <c r="M81" s="4" t="s">
        <v>471</v>
      </c>
    </row>
    <row r="82" customFormat="false" ht="15" hidden="false" customHeight="false" outlineLevel="0" collapsed="false">
      <c r="A82" s="10" t="s">
        <v>472</v>
      </c>
      <c r="B82" s="10"/>
      <c r="C82" s="10" t="n">
        <f aca="false">SUM(C2:C81)</f>
        <v>25591</v>
      </c>
      <c r="D82" s="10" t="n">
        <f aca="false">SUM(D2:D81)</f>
        <v>49203</v>
      </c>
      <c r="E82" s="10" t="n">
        <f aca="false">SUM(E2:E81)</f>
        <v>83</v>
      </c>
      <c r="F82" s="10" t="n">
        <f aca="false">SUM(F2:F81)</f>
        <v>2323</v>
      </c>
      <c r="G82" s="10" t="n">
        <f aca="false">SUM(G2:G81)</f>
        <v>9685</v>
      </c>
      <c r="H82" s="10" t="n">
        <f aca="false">SUM(H2:H81)</f>
        <v>13456</v>
      </c>
      <c r="I82" s="10" t="n">
        <f aca="false">SUM(I2:I81)</f>
        <v>100</v>
      </c>
      <c r="J82" s="10" t="n">
        <f aca="false">SUM(J2:J81)</f>
        <v>27</v>
      </c>
      <c r="K82" s="10"/>
      <c r="L82" s="10"/>
      <c r="M82" s="10"/>
    </row>
    <row r="83" customFormat="false" ht="15" hidden="false" customHeight="false" outlineLevel="0" collapsed="false">
      <c r="A83" s="11" t="s">
        <v>473</v>
      </c>
      <c r="C83" s="12" t="n">
        <f aca="false">(C2+C3)/C82</f>
        <v>0.864210073854089</v>
      </c>
    </row>
  </sheetData>
  <autoFilter ref="A1:M8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0"/>
    <col collapsed="false" customWidth="true" hidden="false" outlineLevel="0" max="5" min="3" style="0" width="14"/>
    <col collapsed="false" customWidth="true" hidden="false" outlineLevel="0" max="6" min="6" style="0" width="48"/>
    <col collapsed="false" customWidth="true" hidden="false" outlineLevel="0" max="7" min="7" style="0" width="38"/>
  </cols>
  <sheetData>
    <row r="1" customFormat="false" ht="39.55" hidden="false" customHeight="false" outlineLevel="0" collapsed="false">
      <c r="A1" s="3" t="s">
        <v>287</v>
      </c>
      <c r="B1" s="3" t="s">
        <v>474</v>
      </c>
      <c r="C1" s="3" t="s">
        <v>475</v>
      </c>
      <c r="D1" s="3" t="s">
        <v>289</v>
      </c>
      <c r="E1" s="3" t="s">
        <v>290</v>
      </c>
      <c r="F1" s="3" t="s">
        <v>476</v>
      </c>
      <c r="G1" s="3" t="s">
        <v>477</v>
      </c>
    </row>
    <row r="2" customFormat="false" ht="15" hidden="false" customHeight="false" outlineLevel="0" collapsed="false">
      <c r="A2" s="2" t="s">
        <v>300</v>
      </c>
      <c r="B2" s="2" t="s">
        <v>478</v>
      </c>
      <c r="C2" s="4" t="s">
        <v>57</v>
      </c>
      <c r="D2" s="4" t="n">
        <v>13453</v>
      </c>
      <c r="E2" s="4" t="n">
        <v>13494</v>
      </c>
      <c r="F2" s="4" t="s">
        <v>479</v>
      </c>
      <c r="G2" s="4" t="s">
        <v>480</v>
      </c>
    </row>
    <row r="3" customFormat="false" ht="15" hidden="false" customHeight="false" outlineLevel="0" collapsed="false">
      <c r="A3" s="2" t="s">
        <v>303</v>
      </c>
      <c r="B3" s="2" t="s">
        <v>481</v>
      </c>
      <c r="C3" s="4" t="s">
        <v>57</v>
      </c>
      <c r="D3" s="4" t="n">
        <v>8663</v>
      </c>
      <c r="E3" s="4" t="n">
        <v>19432</v>
      </c>
      <c r="F3" s="4" t="s">
        <v>482</v>
      </c>
      <c r="G3" s="4" t="s">
        <v>483</v>
      </c>
    </row>
    <row r="4" customFormat="false" ht="15" hidden="false" customHeight="false" outlineLevel="0" collapsed="false">
      <c r="A4" s="2" t="s">
        <v>306</v>
      </c>
      <c r="B4" s="2" t="s">
        <v>484</v>
      </c>
      <c r="C4" s="4" t="s">
        <v>485</v>
      </c>
      <c r="D4" s="4" t="n">
        <v>1014</v>
      </c>
      <c r="E4" s="4" t="n">
        <v>2548</v>
      </c>
      <c r="F4" s="4" t="s">
        <v>486</v>
      </c>
      <c r="G4" s="4" t="s">
        <v>487</v>
      </c>
    </row>
    <row r="5" customFormat="false" ht="15" hidden="false" customHeight="false" outlineLevel="0" collapsed="false">
      <c r="A5" s="2" t="s">
        <v>308</v>
      </c>
      <c r="B5" s="2" t="s">
        <v>488</v>
      </c>
      <c r="C5" s="4" t="s">
        <v>40</v>
      </c>
      <c r="D5" s="4" t="n">
        <v>463</v>
      </c>
      <c r="E5" s="4" t="n">
        <v>464</v>
      </c>
      <c r="F5" s="4" t="s">
        <v>489</v>
      </c>
      <c r="G5" s="4" t="s">
        <v>490</v>
      </c>
    </row>
    <row r="6" customFormat="false" ht="15" hidden="false" customHeight="false" outlineLevel="0" collapsed="false">
      <c r="A6" s="2" t="s">
        <v>310</v>
      </c>
      <c r="B6" s="2" t="s">
        <v>491</v>
      </c>
      <c r="C6" s="4" t="s">
        <v>485</v>
      </c>
      <c r="D6" s="4" t="n">
        <v>426</v>
      </c>
      <c r="E6" s="4" t="n">
        <v>649</v>
      </c>
      <c r="F6" s="4" t="s">
        <v>492</v>
      </c>
      <c r="G6" s="4" t="s">
        <v>493</v>
      </c>
    </row>
    <row r="7" customFormat="false" ht="23.85" hidden="false" customHeight="false" outlineLevel="0" collapsed="false">
      <c r="A7" s="2" t="s">
        <v>312</v>
      </c>
      <c r="B7" s="2" t="s">
        <v>494</v>
      </c>
      <c r="C7" s="4" t="s">
        <v>485</v>
      </c>
      <c r="D7" s="4" t="n">
        <v>392</v>
      </c>
      <c r="E7" s="4" t="n">
        <v>409</v>
      </c>
      <c r="F7" s="4" t="s">
        <v>495</v>
      </c>
      <c r="G7" s="4" t="s">
        <v>496</v>
      </c>
    </row>
    <row r="8" customFormat="false" ht="23.85" hidden="false" customHeight="false" outlineLevel="0" collapsed="false">
      <c r="A8" s="2" t="s">
        <v>318</v>
      </c>
      <c r="B8" s="2" t="s">
        <v>497</v>
      </c>
      <c r="C8" s="4" t="s">
        <v>40</v>
      </c>
      <c r="D8" s="4" t="n">
        <v>149</v>
      </c>
      <c r="E8" s="4" t="n">
        <v>226</v>
      </c>
      <c r="F8" s="4" t="s">
        <v>498</v>
      </c>
      <c r="G8" s="4" t="s">
        <v>499</v>
      </c>
    </row>
    <row r="9" customFormat="false" ht="15" hidden="false" customHeight="false" outlineLevel="0" collapsed="false">
      <c r="A9" s="2" t="s">
        <v>314</v>
      </c>
      <c r="B9" s="2" t="s">
        <v>500</v>
      </c>
      <c r="C9" s="4" t="s">
        <v>485</v>
      </c>
      <c r="D9" s="4" t="n">
        <v>122</v>
      </c>
      <c r="E9" s="4" t="n">
        <v>412</v>
      </c>
      <c r="F9" s="4" t="s">
        <v>501</v>
      </c>
      <c r="G9" s="4" t="s">
        <v>502</v>
      </c>
    </row>
    <row r="10" customFormat="false" ht="15" hidden="false" customHeight="false" outlineLevel="0" collapsed="false">
      <c r="A10" s="2" t="s">
        <v>316</v>
      </c>
      <c r="B10" s="2" t="s">
        <v>503</v>
      </c>
      <c r="C10" s="4" t="s">
        <v>40</v>
      </c>
      <c r="D10" s="4" t="n">
        <v>98</v>
      </c>
      <c r="E10" s="4" t="n">
        <v>98</v>
      </c>
      <c r="F10" s="4" t="s">
        <v>504</v>
      </c>
      <c r="G10" s="4" t="s">
        <v>505</v>
      </c>
    </row>
    <row r="11" customFormat="false" ht="15" hidden="false" customHeight="false" outlineLevel="0" collapsed="false">
      <c r="A11" s="2" t="s">
        <v>314</v>
      </c>
      <c r="B11" s="2" t="s">
        <v>506</v>
      </c>
      <c r="C11" s="4" t="s">
        <v>40</v>
      </c>
      <c r="D11" s="4" t="n">
        <v>85</v>
      </c>
      <c r="E11" s="4" t="n">
        <v>170</v>
      </c>
      <c r="F11" s="4" t="s">
        <v>507</v>
      </c>
      <c r="G11" s="4" t="s">
        <v>508</v>
      </c>
    </row>
    <row r="12" customFormat="false" ht="15" hidden="false" customHeight="false" outlineLevel="0" collapsed="false">
      <c r="A12" s="2" t="s">
        <v>320</v>
      </c>
      <c r="B12" s="2" t="s">
        <v>509</v>
      </c>
      <c r="C12" s="4" t="s">
        <v>485</v>
      </c>
      <c r="D12" s="4" t="n">
        <v>53</v>
      </c>
      <c r="E12" s="4" t="n">
        <v>86</v>
      </c>
      <c r="F12" s="4" t="s">
        <v>510</v>
      </c>
      <c r="G12" s="4" t="s">
        <v>511</v>
      </c>
    </row>
    <row r="13" customFormat="false" ht="15" hidden="false" customHeight="false" outlineLevel="0" collapsed="false">
      <c r="A13" s="2" t="s">
        <v>316</v>
      </c>
      <c r="B13" s="2" t="s">
        <v>512</v>
      </c>
      <c r="C13" s="4" t="s">
        <v>40</v>
      </c>
      <c r="D13" s="4" t="n">
        <v>49</v>
      </c>
      <c r="E13" s="4" t="n">
        <v>69</v>
      </c>
      <c r="F13" s="4" t="s">
        <v>513</v>
      </c>
      <c r="G13" s="4" t="s">
        <v>514</v>
      </c>
    </row>
    <row r="14" customFormat="false" ht="15" hidden="false" customHeight="false" outlineLevel="0" collapsed="false">
      <c r="A14" s="2" t="s">
        <v>322</v>
      </c>
      <c r="B14" s="2" t="s">
        <v>515</v>
      </c>
      <c r="C14" s="4" t="s">
        <v>40</v>
      </c>
      <c r="D14" s="4" t="n">
        <v>47</v>
      </c>
      <c r="E14" s="4" t="n">
        <v>56</v>
      </c>
      <c r="F14" s="4" t="s">
        <v>516</v>
      </c>
      <c r="G14" s="4" t="s">
        <v>517</v>
      </c>
    </row>
    <row r="15" customFormat="false" ht="15" hidden="false" customHeight="false" outlineLevel="0" collapsed="false">
      <c r="A15" s="2" t="s">
        <v>324</v>
      </c>
      <c r="B15" s="2" t="s">
        <v>518</v>
      </c>
      <c r="C15" s="4" t="s">
        <v>57</v>
      </c>
      <c r="D15" s="4" t="n">
        <v>39</v>
      </c>
      <c r="E15" s="4" t="n">
        <v>108</v>
      </c>
      <c r="F15" s="4" t="s">
        <v>519</v>
      </c>
      <c r="G15" s="4" t="s">
        <v>520</v>
      </c>
    </row>
    <row r="16" customFormat="false" ht="15" hidden="false" customHeight="false" outlineLevel="0" collapsed="false">
      <c r="A16" s="2" t="s">
        <v>316</v>
      </c>
      <c r="B16" s="2" t="s">
        <v>521</v>
      </c>
      <c r="C16" s="4" t="s">
        <v>40</v>
      </c>
      <c r="D16" s="4" t="n">
        <v>38</v>
      </c>
      <c r="E16" s="4" t="n">
        <v>541</v>
      </c>
      <c r="F16" s="4" t="s">
        <v>522</v>
      </c>
      <c r="G16" s="4" t="s">
        <v>523</v>
      </c>
    </row>
    <row r="17" customFormat="false" ht="15" hidden="false" customHeight="false" outlineLevel="0" collapsed="false">
      <c r="A17" s="2" t="s">
        <v>326</v>
      </c>
      <c r="B17" s="2" t="s">
        <v>524</v>
      </c>
      <c r="C17" s="4" t="s">
        <v>485</v>
      </c>
      <c r="D17" s="4" t="n">
        <v>35</v>
      </c>
      <c r="E17" s="4" t="n">
        <v>49</v>
      </c>
      <c r="F17" s="4" t="s">
        <v>525</v>
      </c>
      <c r="G17" s="4" t="s">
        <v>526</v>
      </c>
    </row>
    <row r="18" customFormat="false" ht="15" hidden="false" customHeight="false" outlineLevel="0" collapsed="false">
      <c r="A18" s="2" t="s">
        <v>308</v>
      </c>
      <c r="B18" s="2" t="s">
        <v>527</v>
      </c>
      <c r="C18" s="4" t="s">
        <v>40</v>
      </c>
      <c r="D18" s="4" t="n">
        <v>35</v>
      </c>
      <c r="E18" s="4" t="n">
        <v>35</v>
      </c>
      <c r="F18" s="4" t="s">
        <v>528</v>
      </c>
      <c r="G18" s="4" t="s">
        <v>529</v>
      </c>
    </row>
    <row r="19" customFormat="false" ht="23.85" hidden="false" customHeight="false" outlineLevel="0" collapsed="false">
      <c r="A19" s="2" t="s">
        <v>328</v>
      </c>
      <c r="B19" s="2" t="s">
        <v>530</v>
      </c>
      <c r="C19" s="4" t="s">
        <v>485</v>
      </c>
      <c r="D19" s="4" t="n">
        <v>34</v>
      </c>
      <c r="E19" s="4" t="n">
        <v>42</v>
      </c>
      <c r="F19" s="4" t="s">
        <v>531</v>
      </c>
      <c r="G19" s="4" t="s">
        <v>532</v>
      </c>
    </row>
    <row r="20" customFormat="false" ht="23.85" hidden="false" customHeight="false" outlineLevel="0" collapsed="false">
      <c r="A20" s="2" t="s">
        <v>330</v>
      </c>
      <c r="B20" s="2" t="s">
        <v>533</v>
      </c>
      <c r="C20" s="4" t="s">
        <v>485</v>
      </c>
      <c r="D20" s="4" t="n">
        <v>34</v>
      </c>
      <c r="E20" s="4" t="n">
        <v>34</v>
      </c>
      <c r="F20" s="4" t="s">
        <v>534</v>
      </c>
      <c r="G20" s="4" t="s">
        <v>535</v>
      </c>
    </row>
    <row r="21" customFormat="false" ht="15" hidden="false" customHeight="false" outlineLevel="0" collapsed="false">
      <c r="A21" s="2" t="s">
        <v>334</v>
      </c>
      <c r="B21" s="2" t="s">
        <v>536</v>
      </c>
      <c r="C21" s="4" t="s">
        <v>40</v>
      </c>
      <c r="D21" s="4" t="n">
        <v>26</v>
      </c>
      <c r="E21" s="4" t="n">
        <v>35</v>
      </c>
      <c r="F21" s="4" t="s">
        <v>537</v>
      </c>
      <c r="G21" s="4" t="s">
        <v>538</v>
      </c>
    </row>
    <row r="22" customFormat="false" ht="15" hidden="false" customHeight="false" outlineLevel="0" collapsed="false">
      <c r="A22" s="2" t="s">
        <v>332</v>
      </c>
      <c r="B22" s="2" t="s">
        <v>539</v>
      </c>
      <c r="C22" s="4" t="s">
        <v>40</v>
      </c>
      <c r="D22" s="4" t="n">
        <v>25</v>
      </c>
      <c r="E22" s="4" t="n">
        <v>59</v>
      </c>
      <c r="F22" s="4" t="s">
        <v>540</v>
      </c>
      <c r="G22" s="4" t="s">
        <v>541</v>
      </c>
    </row>
    <row r="23" customFormat="false" ht="23.85" hidden="false" customHeight="false" outlineLevel="0" collapsed="false">
      <c r="A23" s="2" t="s">
        <v>336</v>
      </c>
      <c r="B23" s="2" t="s">
        <v>542</v>
      </c>
      <c r="C23" s="4" t="s">
        <v>57</v>
      </c>
      <c r="D23" s="4" t="n">
        <v>25</v>
      </c>
      <c r="E23" s="4" t="n">
        <v>31</v>
      </c>
      <c r="F23" s="4" t="s">
        <v>543</v>
      </c>
      <c r="G23" s="4" t="s">
        <v>544</v>
      </c>
    </row>
    <row r="24" customFormat="false" ht="15" hidden="false" customHeight="false" outlineLevel="0" collapsed="false">
      <c r="A24" s="2" t="s">
        <v>308</v>
      </c>
      <c r="B24" s="2" t="s">
        <v>545</v>
      </c>
      <c r="C24" s="4" t="s">
        <v>40</v>
      </c>
      <c r="D24" s="4" t="n">
        <v>22</v>
      </c>
      <c r="E24" s="4" t="n">
        <v>106</v>
      </c>
      <c r="F24" s="4" t="s">
        <v>546</v>
      </c>
      <c r="G24" s="4" t="s">
        <v>547</v>
      </c>
    </row>
    <row r="25" customFormat="false" ht="15" hidden="false" customHeight="false" outlineLevel="0" collapsed="false">
      <c r="A25" s="2" t="s">
        <v>339</v>
      </c>
      <c r="B25" s="2" t="s">
        <v>548</v>
      </c>
      <c r="C25" s="4" t="s">
        <v>40</v>
      </c>
      <c r="D25" s="4" t="n">
        <v>22</v>
      </c>
      <c r="E25" s="4" t="n">
        <v>22</v>
      </c>
      <c r="F25" s="4" t="s">
        <v>549</v>
      </c>
      <c r="G25" s="4" t="s">
        <v>550</v>
      </c>
    </row>
    <row r="26" customFormat="false" ht="15" hidden="false" customHeight="false" outlineLevel="0" collapsed="false">
      <c r="A26" s="2" t="s">
        <v>343</v>
      </c>
      <c r="B26" s="2" t="s">
        <v>551</v>
      </c>
      <c r="C26" s="4" t="s">
        <v>485</v>
      </c>
      <c r="D26" s="4" t="n">
        <v>17</v>
      </c>
      <c r="E26" s="4" t="n">
        <v>22</v>
      </c>
      <c r="F26" s="4" t="s">
        <v>552</v>
      </c>
      <c r="G26" s="4" t="s">
        <v>553</v>
      </c>
    </row>
    <row r="27" customFormat="false" ht="23.85" hidden="false" customHeight="false" outlineLevel="0" collapsed="false">
      <c r="A27" s="2" t="s">
        <v>341</v>
      </c>
      <c r="B27" s="2" t="s">
        <v>554</v>
      </c>
      <c r="C27" s="4" t="s">
        <v>485</v>
      </c>
      <c r="D27" s="4" t="n">
        <v>16</v>
      </c>
      <c r="E27" s="4" t="n">
        <v>123</v>
      </c>
      <c r="F27" s="4" t="s">
        <v>555</v>
      </c>
      <c r="G27" s="4" t="s">
        <v>556</v>
      </c>
    </row>
    <row r="28" customFormat="false" ht="15" hidden="false" customHeight="false" outlineLevel="0" collapsed="false">
      <c r="A28" s="2" t="s">
        <v>314</v>
      </c>
      <c r="B28" s="2" t="s">
        <v>557</v>
      </c>
      <c r="C28" s="4" t="s">
        <v>40</v>
      </c>
      <c r="D28" s="4" t="n">
        <v>15</v>
      </c>
      <c r="E28" s="4" t="n">
        <v>144</v>
      </c>
      <c r="F28" s="4" t="s">
        <v>558</v>
      </c>
      <c r="G28" s="4" t="s">
        <v>559</v>
      </c>
    </row>
    <row r="29" customFormat="false" ht="15" hidden="false" customHeight="false" outlineLevel="0" collapsed="false">
      <c r="A29" s="2" t="s">
        <v>345</v>
      </c>
      <c r="B29" s="2" t="s">
        <v>560</v>
      </c>
      <c r="C29" s="4" t="s">
        <v>57</v>
      </c>
      <c r="D29" s="4" t="n">
        <v>15</v>
      </c>
      <c r="E29" s="4" t="n">
        <v>15</v>
      </c>
      <c r="F29" s="4" t="s">
        <v>561</v>
      </c>
      <c r="G29" s="4" t="s">
        <v>562</v>
      </c>
    </row>
    <row r="30" customFormat="false" ht="15" hidden="false" customHeight="false" outlineLevel="0" collapsed="false">
      <c r="A30" s="2" t="s">
        <v>348</v>
      </c>
      <c r="B30" s="2" t="s">
        <v>563</v>
      </c>
      <c r="C30" s="4" t="s">
        <v>485</v>
      </c>
      <c r="D30" s="4" t="n">
        <v>13</v>
      </c>
      <c r="E30" s="4" t="n">
        <v>14</v>
      </c>
      <c r="F30" s="4" t="s">
        <v>564</v>
      </c>
      <c r="G30" s="4" t="s">
        <v>565</v>
      </c>
    </row>
    <row r="31" customFormat="false" ht="15" hidden="false" customHeight="false" outlineLevel="0" collapsed="false">
      <c r="A31" s="2" t="s">
        <v>350</v>
      </c>
      <c r="B31" s="2" t="s">
        <v>566</v>
      </c>
      <c r="C31" s="4" t="s">
        <v>485</v>
      </c>
      <c r="D31" s="4" t="n">
        <v>11</v>
      </c>
      <c r="E31" s="4" t="n">
        <v>12</v>
      </c>
      <c r="F31" s="4" t="s">
        <v>567</v>
      </c>
      <c r="G31" s="4" t="s">
        <v>568</v>
      </c>
    </row>
    <row r="32" customFormat="false" ht="23.85" hidden="false" customHeight="false" outlineLevel="0" collapsed="false">
      <c r="A32" s="2" t="s">
        <v>354</v>
      </c>
      <c r="B32" s="2" t="s">
        <v>569</v>
      </c>
      <c r="C32" s="4" t="s">
        <v>40</v>
      </c>
      <c r="D32" s="4" t="n">
        <v>11</v>
      </c>
      <c r="E32" s="4" t="n">
        <v>11</v>
      </c>
      <c r="F32" s="4" t="s">
        <v>570</v>
      </c>
      <c r="G32" s="4" t="s">
        <v>571</v>
      </c>
    </row>
    <row r="33" customFormat="false" ht="15" hidden="false" customHeight="false" outlineLevel="0" collapsed="false">
      <c r="A33" s="2" t="s">
        <v>356</v>
      </c>
      <c r="B33" s="2" t="s">
        <v>572</v>
      </c>
      <c r="C33" s="4" t="s">
        <v>57</v>
      </c>
      <c r="D33" s="4" t="n">
        <v>9</v>
      </c>
      <c r="E33" s="4" t="n">
        <v>18</v>
      </c>
      <c r="F33" s="4" t="s">
        <v>573</v>
      </c>
      <c r="G33" s="4" t="s">
        <v>574</v>
      </c>
    </row>
    <row r="34" customFormat="false" ht="15" hidden="false" customHeight="false" outlineLevel="0" collapsed="false">
      <c r="A34" s="2" t="s">
        <v>352</v>
      </c>
      <c r="B34" s="2" t="s">
        <v>575</v>
      </c>
      <c r="C34" s="4" t="s">
        <v>40</v>
      </c>
      <c r="D34" s="4" t="n">
        <v>9</v>
      </c>
      <c r="E34" s="4" t="n">
        <v>9</v>
      </c>
      <c r="F34" s="4" t="s">
        <v>576</v>
      </c>
      <c r="G34" s="4" t="s">
        <v>577</v>
      </c>
    </row>
    <row r="35" customFormat="false" ht="15" hidden="false" customHeight="false" outlineLevel="0" collapsed="false">
      <c r="A35" s="2" t="s">
        <v>358</v>
      </c>
      <c r="B35" s="2" t="s">
        <v>578</v>
      </c>
      <c r="C35" s="4" t="s">
        <v>485</v>
      </c>
      <c r="D35" s="4" t="n">
        <v>7</v>
      </c>
      <c r="E35" s="4" t="n">
        <v>10</v>
      </c>
      <c r="F35" s="4" t="s">
        <v>579</v>
      </c>
      <c r="G35" s="4" t="s">
        <v>580</v>
      </c>
    </row>
    <row r="36" customFormat="false" ht="15" hidden="false" customHeight="false" outlineLevel="0" collapsed="false">
      <c r="A36" s="2" t="s">
        <v>316</v>
      </c>
      <c r="B36" s="2" t="s">
        <v>581</v>
      </c>
      <c r="C36" s="4" t="s">
        <v>40</v>
      </c>
      <c r="D36" s="4" t="n">
        <v>7</v>
      </c>
      <c r="E36" s="4" t="n">
        <v>9</v>
      </c>
      <c r="F36" s="4" t="s">
        <v>582</v>
      </c>
      <c r="G36" s="4" t="s">
        <v>583</v>
      </c>
    </row>
    <row r="37" customFormat="false" ht="15" hidden="false" customHeight="false" outlineLevel="0" collapsed="false">
      <c r="A37" s="2" t="s">
        <v>360</v>
      </c>
      <c r="B37" s="2" t="s">
        <v>584</v>
      </c>
      <c r="C37" s="4" t="s">
        <v>485</v>
      </c>
      <c r="D37" s="4" t="n">
        <v>7</v>
      </c>
      <c r="E37" s="4" t="n">
        <v>8</v>
      </c>
      <c r="F37" s="4" t="s">
        <v>585</v>
      </c>
      <c r="G37" s="4" t="s">
        <v>586</v>
      </c>
    </row>
    <row r="38" customFormat="false" ht="15" hidden="false" customHeight="false" outlineLevel="0" collapsed="false">
      <c r="A38" s="2" t="s">
        <v>362</v>
      </c>
      <c r="B38" s="2" t="s">
        <v>587</v>
      </c>
      <c r="C38" s="4" t="s">
        <v>485</v>
      </c>
      <c r="D38" s="4" t="n">
        <v>6</v>
      </c>
      <c r="E38" s="4" t="n">
        <v>6</v>
      </c>
      <c r="F38" s="4" t="s">
        <v>588</v>
      </c>
      <c r="G38" s="4" t="s">
        <v>589</v>
      </c>
    </row>
    <row r="39" customFormat="false" ht="15" hidden="false" customHeight="false" outlineLevel="0" collapsed="false">
      <c r="A39" s="2" t="s">
        <v>366</v>
      </c>
      <c r="B39" s="2" t="s">
        <v>590</v>
      </c>
      <c r="C39" s="4" t="s">
        <v>485</v>
      </c>
      <c r="D39" s="4" t="n">
        <v>5</v>
      </c>
      <c r="E39" s="4" t="n">
        <v>9</v>
      </c>
      <c r="F39" s="4" t="s">
        <v>591</v>
      </c>
      <c r="G39" s="4" t="s">
        <v>592</v>
      </c>
    </row>
    <row r="40" customFormat="false" ht="15" hidden="false" customHeight="false" outlineLevel="0" collapsed="false">
      <c r="A40" s="2" t="s">
        <v>368</v>
      </c>
      <c r="B40" s="2" t="s">
        <v>593</v>
      </c>
      <c r="C40" s="4" t="s">
        <v>57</v>
      </c>
      <c r="D40" s="4" t="n">
        <v>5</v>
      </c>
      <c r="E40" s="4" t="n">
        <v>7</v>
      </c>
      <c r="F40" s="4" t="s">
        <v>594</v>
      </c>
      <c r="G40" s="4" t="s">
        <v>595</v>
      </c>
    </row>
    <row r="41" customFormat="false" ht="23.85" hidden="false" customHeight="false" outlineLevel="0" collapsed="false">
      <c r="A41" s="2" t="s">
        <v>370</v>
      </c>
      <c r="B41" s="2" t="s">
        <v>596</v>
      </c>
      <c r="C41" s="4" t="s">
        <v>40</v>
      </c>
      <c r="D41" s="4" t="n">
        <v>5</v>
      </c>
      <c r="E41" s="4" t="n">
        <v>6</v>
      </c>
      <c r="F41" s="4" t="s">
        <v>597</v>
      </c>
      <c r="G41" s="4" t="s">
        <v>598</v>
      </c>
    </row>
    <row r="42" customFormat="false" ht="23.85" hidden="false" customHeight="false" outlineLevel="0" collapsed="false">
      <c r="A42" s="2" t="s">
        <v>312</v>
      </c>
      <c r="B42" s="2" t="s">
        <v>599</v>
      </c>
      <c r="C42" s="4" t="s">
        <v>40</v>
      </c>
      <c r="D42" s="4" t="n">
        <v>5</v>
      </c>
      <c r="E42" s="4" t="n">
        <v>5</v>
      </c>
      <c r="F42" s="4" t="s">
        <v>600</v>
      </c>
      <c r="G42" s="4" t="s">
        <v>601</v>
      </c>
    </row>
    <row r="43" customFormat="false" ht="15" hidden="false" customHeight="false" outlineLevel="0" collapsed="false">
      <c r="A43" s="2" t="s">
        <v>364</v>
      </c>
      <c r="B43" s="2" t="s">
        <v>602</v>
      </c>
      <c r="C43" s="4" t="s">
        <v>485</v>
      </c>
      <c r="D43" s="4" t="n">
        <v>5</v>
      </c>
      <c r="E43" s="4" t="n">
        <v>5</v>
      </c>
      <c r="F43" s="4" t="s">
        <v>603</v>
      </c>
      <c r="G43" s="4" t="s">
        <v>604</v>
      </c>
    </row>
    <row r="44" customFormat="false" ht="23.85" hidden="false" customHeight="false" outlineLevel="0" collapsed="false">
      <c r="A44" s="2" t="s">
        <v>374</v>
      </c>
      <c r="B44" s="2" t="s">
        <v>374</v>
      </c>
      <c r="C44" s="4" t="s">
        <v>485</v>
      </c>
      <c r="D44" s="4" t="n">
        <v>5</v>
      </c>
      <c r="E44" s="4" t="n">
        <v>5</v>
      </c>
      <c r="F44" s="4" t="s">
        <v>605</v>
      </c>
      <c r="G44" s="4" t="s">
        <v>606</v>
      </c>
    </row>
    <row r="45" customFormat="false" ht="23.85" hidden="false" customHeight="false" outlineLevel="0" collapsed="false">
      <c r="A45" s="2" t="s">
        <v>372</v>
      </c>
      <c r="B45" s="2" t="s">
        <v>607</v>
      </c>
      <c r="C45" s="4" t="s">
        <v>485</v>
      </c>
      <c r="D45" s="4" t="n">
        <v>5</v>
      </c>
      <c r="E45" s="4" t="n">
        <v>5</v>
      </c>
      <c r="F45" s="4" t="s">
        <v>608</v>
      </c>
      <c r="G45" s="4" t="s">
        <v>609</v>
      </c>
    </row>
    <row r="46" customFormat="false" ht="15" hidden="false" customHeight="false" outlineLevel="0" collapsed="false">
      <c r="A46" s="2" t="s">
        <v>378</v>
      </c>
      <c r="B46" s="2" t="s">
        <v>378</v>
      </c>
      <c r="C46" s="4" t="s">
        <v>485</v>
      </c>
      <c r="D46" s="4" t="n">
        <v>4</v>
      </c>
      <c r="E46" s="4" t="n">
        <v>20</v>
      </c>
      <c r="F46" s="4" t="s">
        <v>610</v>
      </c>
      <c r="G46" s="4" t="s">
        <v>611</v>
      </c>
    </row>
    <row r="47" customFormat="false" ht="15" hidden="false" customHeight="false" outlineLevel="0" collapsed="false">
      <c r="A47" s="2" t="s">
        <v>380</v>
      </c>
      <c r="B47" s="2" t="s">
        <v>612</v>
      </c>
      <c r="C47" s="4" t="s">
        <v>57</v>
      </c>
      <c r="D47" s="4" t="n">
        <v>4</v>
      </c>
      <c r="E47" s="4" t="n">
        <v>4</v>
      </c>
      <c r="F47" s="4" t="s">
        <v>613</v>
      </c>
      <c r="G47" s="4" t="s">
        <v>614</v>
      </c>
    </row>
    <row r="48" customFormat="false" ht="23.85" hidden="false" customHeight="false" outlineLevel="0" collapsed="false">
      <c r="A48" s="2" t="s">
        <v>383</v>
      </c>
      <c r="B48" s="2" t="s">
        <v>615</v>
      </c>
      <c r="C48" s="4" t="s">
        <v>40</v>
      </c>
      <c r="D48" s="4" t="n">
        <v>4</v>
      </c>
      <c r="E48" s="4" t="n">
        <v>4</v>
      </c>
      <c r="F48" s="4" t="s">
        <v>616</v>
      </c>
      <c r="G48" s="4" t="s">
        <v>617</v>
      </c>
    </row>
    <row r="49" customFormat="false" ht="15" hidden="false" customHeight="false" outlineLevel="0" collapsed="false">
      <c r="A49" s="2" t="s">
        <v>385</v>
      </c>
      <c r="B49" s="2" t="s">
        <v>618</v>
      </c>
      <c r="C49" s="4" t="s">
        <v>40</v>
      </c>
      <c r="D49" s="4" t="n">
        <v>4</v>
      </c>
      <c r="E49" s="4" t="n">
        <v>4</v>
      </c>
      <c r="F49" s="4" t="s">
        <v>619</v>
      </c>
      <c r="G49" s="4" t="s">
        <v>620</v>
      </c>
    </row>
    <row r="50" customFormat="false" ht="15" hidden="false" customHeight="false" outlineLevel="0" collapsed="false">
      <c r="A50" s="2" t="s">
        <v>389</v>
      </c>
      <c r="B50" s="2" t="s">
        <v>621</v>
      </c>
      <c r="C50" s="4" t="s">
        <v>57</v>
      </c>
      <c r="D50" s="4" t="n">
        <v>3</v>
      </c>
      <c r="E50" s="4" t="n">
        <v>3</v>
      </c>
      <c r="F50" s="4" t="s">
        <v>622</v>
      </c>
      <c r="G50" s="4" t="s">
        <v>623</v>
      </c>
    </row>
    <row r="51" customFormat="false" ht="15" hidden="false" customHeight="false" outlineLevel="0" collapsed="false">
      <c r="A51" s="2" t="s">
        <v>376</v>
      </c>
      <c r="B51" s="2" t="s">
        <v>624</v>
      </c>
      <c r="C51" s="4" t="s">
        <v>485</v>
      </c>
      <c r="D51" s="4" t="n">
        <v>2</v>
      </c>
      <c r="E51" s="4" t="n">
        <v>19</v>
      </c>
      <c r="F51" s="4" t="s">
        <v>625</v>
      </c>
      <c r="G51" s="4" t="s">
        <v>626</v>
      </c>
    </row>
    <row r="52" customFormat="false" ht="15" hidden="false" customHeight="false" outlineLevel="0" collapsed="false">
      <c r="A52" s="2" t="s">
        <v>391</v>
      </c>
      <c r="B52" s="2" t="s">
        <v>627</v>
      </c>
      <c r="C52" s="4" t="s">
        <v>57</v>
      </c>
      <c r="D52" s="4" t="n">
        <v>2</v>
      </c>
      <c r="E52" s="4" t="n">
        <v>6</v>
      </c>
      <c r="F52" s="4" t="s">
        <v>628</v>
      </c>
      <c r="G52" s="4" t="s">
        <v>629</v>
      </c>
    </row>
    <row r="53" customFormat="false" ht="15" hidden="false" customHeight="false" outlineLevel="0" collapsed="false">
      <c r="A53" s="2" t="s">
        <v>387</v>
      </c>
      <c r="B53" s="2" t="s">
        <v>630</v>
      </c>
      <c r="C53" s="4" t="s">
        <v>485</v>
      </c>
      <c r="D53" s="4" t="n">
        <v>2</v>
      </c>
      <c r="E53" s="4" t="n">
        <v>3</v>
      </c>
      <c r="F53" s="4" t="s">
        <v>631</v>
      </c>
      <c r="G53" s="4" t="s">
        <v>632</v>
      </c>
    </row>
    <row r="54" customFormat="false" ht="15" hidden="false" customHeight="false" outlineLevel="0" collapsed="false">
      <c r="A54" s="2" t="s">
        <v>396</v>
      </c>
      <c r="B54" s="2" t="s">
        <v>633</v>
      </c>
      <c r="C54" s="4" t="s">
        <v>485</v>
      </c>
      <c r="D54" s="4" t="n">
        <v>2</v>
      </c>
      <c r="E54" s="4" t="n">
        <v>2</v>
      </c>
      <c r="F54" s="4" t="s">
        <v>634</v>
      </c>
      <c r="G54" s="4" t="s">
        <v>635</v>
      </c>
    </row>
    <row r="55" customFormat="false" ht="15" hidden="false" customHeight="false" outlineLevel="0" collapsed="false">
      <c r="A55" s="2" t="s">
        <v>352</v>
      </c>
      <c r="B55" s="2" t="s">
        <v>636</v>
      </c>
      <c r="C55" s="4" t="s">
        <v>40</v>
      </c>
      <c r="D55" s="4" t="n">
        <v>2</v>
      </c>
      <c r="E55" s="4" t="n">
        <v>2</v>
      </c>
      <c r="F55" s="4" t="s">
        <v>637</v>
      </c>
      <c r="G55" s="4" t="s">
        <v>638</v>
      </c>
    </row>
    <row r="56" customFormat="false" ht="15" hidden="false" customHeight="false" outlineLevel="0" collapsed="false">
      <c r="A56" s="2" t="s">
        <v>316</v>
      </c>
      <c r="B56" s="2" t="s">
        <v>639</v>
      </c>
      <c r="C56" s="4" t="s">
        <v>40</v>
      </c>
      <c r="D56" s="4" t="n">
        <v>2</v>
      </c>
      <c r="E56" s="4" t="n">
        <v>2</v>
      </c>
      <c r="F56" s="4" t="s">
        <v>640</v>
      </c>
      <c r="G56" s="4" t="s">
        <v>641</v>
      </c>
    </row>
    <row r="57" customFormat="false" ht="15" hidden="false" customHeight="false" outlineLevel="0" collapsed="false">
      <c r="A57" s="2" t="s">
        <v>393</v>
      </c>
      <c r="B57" s="2" t="s">
        <v>642</v>
      </c>
      <c r="C57" s="4" t="s">
        <v>485</v>
      </c>
      <c r="D57" s="4" t="n">
        <v>2</v>
      </c>
      <c r="E57" s="4" t="n">
        <v>2</v>
      </c>
      <c r="F57" s="4" t="s">
        <v>643</v>
      </c>
      <c r="G57" s="4" t="s">
        <v>644</v>
      </c>
    </row>
    <row r="58" customFormat="false" ht="15" hidden="false" customHeight="false" outlineLevel="0" collapsed="false">
      <c r="A58" s="2" t="s">
        <v>403</v>
      </c>
      <c r="B58" s="2" t="s">
        <v>645</v>
      </c>
      <c r="C58" s="4" t="s">
        <v>57</v>
      </c>
      <c r="D58" s="4" t="n">
        <v>2</v>
      </c>
      <c r="E58" s="4" t="n">
        <v>2</v>
      </c>
      <c r="F58" s="4" t="s">
        <v>646</v>
      </c>
      <c r="G58" s="4" t="s">
        <v>647</v>
      </c>
    </row>
    <row r="59" customFormat="false" ht="15" hidden="false" customHeight="false" outlineLevel="0" collapsed="false">
      <c r="A59" s="2" t="s">
        <v>376</v>
      </c>
      <c r="B59" s="2" t="s">
        <v>648</v>
      </c>
      <c r="C59" s="4" t="s">
        <v>40</v>
      </c>
      <c r="D59" s="4" t="n">
        <v>2</v>
      </c>
      <c r="E59" s="4" t="n">
        <v>2</v>
      </c>
      <c r="F59" s="4" t="s">
        <v>649</v>
      </c>
      <c r="G59" s="4" t="s">
        <v>650</v>
      </c>
    </row>
    <row r="60" customFormat="false" ht="15" hidden="false" customHeight="false" outlineLevel="0" collapsed="false">
      <c r="A60" s="2" t="s">
        <v>399</v>
      </c>
      <c r="B60" s="2" t="s">
        <v>399</v>
      </c>
      <c r="C60" s="4" t="s">
        <v>40</v>
      </c>
      <c r="D60" s="4" t="n">
        <v>2</v>
      </c>
      <c r="E60" s="4" t="n">
        <v>2</v>
      </c>
      <c r="F60" s="4" t="s">
        <v>651</v>
      </c>
      <c r="G60" s="4" t="s">
        <v>652</v>
      </c>
    </row>
    <row r="61" customFormat="false" ht="23.85" hidden="false" customHeight="false" outlineLevel="0" collapsed="false">
      <c r="A61" s="2" t="s">
        <v>401</v>
      </c>
      <c r="B61" s="2" t="s">
        <v>653</v>
      </c>
      <c r="C61" s="4" t="s">
        <v>40</v>
      </c>
      <c r="D61" s="4" t="n">
        <v>2</v>
      </c>
      <c r="E61" s="4" t="n">
        <v>2</v>
      </c>
      <c r="F61" s="4" t="s">
        <v>654</v>
      </c>
      <c r="G61" s="4" t="s">
        <v>655</v>
      </c>
    </row>
    <row r="62" customFormat="false" ht="15" hidden="false" customHeight="false" outlineLevel="0" collapsed="false">
      <c r="A62" s="2" t="s">
        <v>358</v>
      </c>
      <c r="B62" s="2" t="s">
        <v>656</v>
      </c>
      <c r="C62" s="4" t="s">
        <v>485</v>
      </c>
      <c r="D62" s="4" t="n">
        <v>1</v>
      </c>
      <c r="E62" s="4" t="n">
        <v>651</v>
      </c>
      <c r="F62" s="4" t="s">
        <v>657</v>
      </c>
      <c r="G62" s="4" t="s">
        <v>658</v>
      </c>
    </row>
    <row r="63" customFormat="false" ht="23.85" hidden="false" customHeight="false" outlineLevel="0" collapsed="false">
      <c r="A63" s="2" t="s">
        <v>318</v>
      </c>
      <c r="B63" s="2" t="s">
        <v>659</v>
      </c>
      <c r="C63" s="4" t="s">
        <v>40</v>
      </c>
      <c r="D63" s="4" t="n">
        <v>1</v>
      </c>
      <c r="E63" s="4" t="n">
        <v>16</v>
      </c>
      <c r="F63" s="4" t="s">
        <v>660</v>
      </c>
      <c r="G63" s="4" t="s">
        <v>661</v>
      </c>
    </row>
    <row r="64" customFormat="false" ht="15" hidden="false" customHeight="false" outlineLevel="0" collapsed="false">
      <c r="A64" s="2" t="s">
        <v>408</v>
      </c>
      <c r="B64" s="2" t="s">
        <v>662</v>
      </c>
      <c r="C64" s="4" t="s">
        <v>40</v>
      </c>
      <c r="D64" s="4" t="n">
        <v>1</v>
      </c>
      <c r="E64" s="4" t="n">
        <v>12</v>
      </c>
      <c r="F64" s="4" t="s">
        <v>663</v>
      </c>
      <c r="G64" s="4" t="s">
        <v>664</v>
      </c>
    </row>
    <row r="65" customFormat="false" ht="23.85" hidden="false" customHeight="false" outlineLevel="0" collapsed="false">
      <c r="A65" s="2" t="s">
        <v>412</v>
      </c>
      <c r="B65" s="2" t="s">
        <v>665</v>
      </c>
      <c r="C65" s="4" t="s">
        <v>485</v>
      </c>
      <c r="D65" s="4" t="n">
        <v>1</v>
      </c>
      <c r="E65" s="4" t="n">
        <v>6</v>
      </c>
      <c r="F65" s="4" t="s">
        <v>666</v>
      </c>
      <c r="G65" s="4" t="s">
        <v>667</v>
      </c>
    </row>
    <row r="66" customFormat="false" ht="15" hidden="false" customHeight="false" outlineLevel="0" collapsed="false">
      <c r="A66" s="2" t="s">
        <v>414</v>
      </c>
      <c r="B66" s="2" t="s">
        <v>668</v>
      </c>
      <c r="C66" s="4" t="s">
        <v>485</v>
      </c>
      <c r="D66" s="4" t="n">
        <v>1</v>
      </c>
      <c r="E66" s="4" t="n">
        <v>3</v>
      </c>
      <c r="F66" s="4" t="s">
        <v>669</v>
      </c>
      <c r="G66" s="4" t="s">
        <v>670</v>
      </c>
    </row>
    <row r="67" customFormat="false" ht="15" hidden="false" customHeight="false" outlineLevel="0" collapsed="false">
      <c r="A67" s="2" t="s">
        <v>308</v>
      </c>
      <c r="B67" s="2" t="s">
        <v>671</v>
      </c>
      <c r="C67" s="4" t="s">
        <v>40</v>
      </c>
      <c r="D67" s="4" t="n">
        <v>1</v>
      </c>
      <c r="E67" s="4" t="n">
        <v>3</v>
      </c>
      <c r="F67" s="4" t="s">
        <v>672</v>
      </c>
      <c r="G67" s="4" t="s">
        <v>673</v>
      </c>
    </row>
    <row r="68" customFormat="false" ht="15" hidden="false" customHeight="false" outlineLevel="0" collapsed="false">
      <c r="A68" s="2" t="s">
        <v>308</v>
      </c>
      <c r="B68" s="2" t="s">
        <v>674</v>
      </c>
      <c r="C68" s="4" t="s">
        <v>40</v>
      </c>
      <c r="D68" s="4" t="n">
        <v>1</v>
      </c>
      <c r="E68" s="4" t="n">
        <v>2</v>
      </c>
      <c r="F68" s="4" t="s">
        <v>675</v>
      </c>
      <c r="G68" s="4" t="s">
        <v>676</v>
      </c>
    </row>
    <row r="69" customFormat="false" ht="15" hidden="false" customHeight="false" outlineLevel="0" collapsed="false">
      <c r="A69" s="2" t="s">
        <v>308</v>
      </c>
      <c r="B69" s="2" t="s">
        <v>677</v>
      </c>
      <c r="C69" s="4" t="s">
        <v>40</v>
      </c>
      <c r="D69" s="4" t="n">
        <v>1</v>
      </c>
      <c r="E69" s="4" t="n">
        <v>2</v>
      </c>
      <c r="F69" s="4" t="s">
        <v>678</v>
      </c>
      <c r="G69" s="4" t="s">
        <v>679</v>
      </c>
    </row>
    <row r="70" customFormat="false" ht="23.85" hidden="false" customHeight="false" outlineLevel="0" collapsed="false">
      <c r="A70" s="2" t="s">
        <v>421</v>
      </c>
      <c r="B70" s="2" t="s">
        <v>680</v>
      </c>
      <c r="C70" s="4" t="s">
        <v>485</v>
      </c>
      <c r="D70" s="4" t="n">
        <v>1</v>
      </c>
      <c r="E70" s="4" t="n">
        <v>2</v>
      </c>
      <c r="F70" s="4" t="s">
        <v>681</v>
      </c>
      <c r="G70" s="4" t="s">
        <v>682</v>
      </c>
    </row>
    <row r="71" customFormat="false" ht="15" hidden="false" customHeight="false" outlineLevel="0" collapsed="false">
      <c r="A71" s="2" t="s">
        <v>416</v>
      </c>
      <c r="B71" s="2" t="s">
        <v>683</v>
      </c>
      <c r="C71" s="4" t="s">
        <v>40</v>
      </c>
      <c r="D71" s="4" t="n">
        <v>1</v>
      </c>
      <c r="E71" s="4" t="n">
        <v>2</v>
      </c>
      <c r="F71" s="4" t="s">
        <v>684</v>
      </c>
      <c r="G71" s="4" t="s">
        <v>685</v>
      </c>
    </row>
    <row r="72" customFormat="false" ht="15" hidden="false" customHeight="false" outlineLevel="0" collapsed="false">
      <c r="A72" s="2" t="s">
        <v>429</v>
      </c>
      <c r="B72" s="2" t="s">
        <v>686</v>
      </c>
      <c r="C72" s="4" t="s">
        <v>485</v>
      </c>
      <c r="D72" s="4" t="n">
        <v>1</v>
      </c>
      <c r="E72" s="4" t="n">
        <v>1</v>
      </c>
      <c r="F72" s="4" t="s">
        <v>687</v>
      </c>
      <c r="G72" s="4" t="s">
        <v>688</v>
      </c>
    </row>
    <row r="73" customFormat="false" ht="15" hidden="false" customHeight="false" outlineLevel="0" collapsed="false">
      <c r="A73" s="2" t="s">
        <v>427</v>
      </c>
      <c r="B73" s="2" t="s">
        <v>689</v>
      </c>
      <c r="C73" s="4" t="s">
        <v>40</v>
      </c>
      <c r="D73" s="4" t="n">
        <v>1</v>
      </c>
      <c r="E73" s="4" t="n">
        <v>1</v>
      </c>
      <c r="F73" s="4" t="s">
        <v>690</v>
      </c>
      <c r="G73" s="4" t="s">
        <v>691</v>
      </c>
    </row>
    <row r="74" customFormat="false" ht="35.05" hidden="false" customHeight="false" outlineLevel="0" collapsed="false">
      <c r="A74" s="2" t="s">
        <v>418</v>
      </c>
      <c r="B74" s="2" t="s">
        <v>692</v>
      </c>
      <c r="C74" s="4" t="s">
        <v>57</v>
      </c>
      <c r="D74" s="4" t="n">
        <v>1</v>
      </c>
      <c r="E74" s="4" t="n">
        <v>1</v>
      </c>
      <c r="F74" s="4" t="s">
        <v>693</v>
      </c>
      <c r="G74" s="4" t="s">
        <v>694</v>
      </c>
    </row>
    <row r="75" customFormat="false" ht="23.85" hidden="false" customHeight="false" outlineLevel="0" collapsed="false">
      <c r="A75" s="2" t="s">
        <v>425</v>
      </c>
      <c r="B75" s="2" t="s">
        <v>695</v>
      </c>
      <c r="C75" s="4" t="s">
        <v>57</v>
      </c>
      <c r="D75" s="4" t="n">
        <v>1</v>
      </c>
      <c r="E75" s="4" t="n">
        <v>1</v>
      </c>
      <c r="F75" s="4" t="s">
        <v>696</v>
      </c>
      <c r="G75" s="4" t="s">
        <v>697</v>
      </c>
    </row>
    <row r="76" customFormat="false" ht="23.85" hidden="false" customHeight="false" outlineLevel="0" collapsed="false">
      <c r="A76" s="2" t="s">
        <v>341</v>
      </c>
      <c r="B76" s="2" t="s">
        <v>698</v>
      </c>
      <c r="C76" s="4" t="s">
        <v>57</v>
      </c>
      <c r="D76" s="4" t="n">
        <v>1</v>
      </c>
      <c r="E76" s="4" t="n">
        <v>1</v>
      </c>
      <c r="F76" s="4" t="s">
        <v>699</v>
      </c>
      <c r="G76" s="4" t="s">
        <v>700</v>
      </c>
    </row>
    <row r="77" customFormat="false" ht="15" hidden="false" customHeight="false" outlineLevel="0" collapsed="false">
      <c r="A77" s="2" t="s">
        <v>332</v>
      </c>
      <c r="B77" s="2" t="s">
        <v>701</v>
      </c>
      <c r="C77" s="4" t="s">
        <v>40</v>
      </c>
      <c r="D77" s="4" t="n">
        <v>1</v>
      </c>
      <c r="E77" s="4" t="n">
        <v>1</v>
      </c>
      <c r="F77" s="4" t="s">
        <v>702</v>
      </c>
      <c r="G77" s="4" t="s">
        <v>703</v>
      </c>
    </row>
    <row r="78" customFormat="false" ht="15" hidden="false" customHeight="false" outlineLevel="0" collapsed="false">
      <c r="A78" s="2" t="s">
        <v>387</v>
      </c>
      <c r="B78" s="2" t="s">
        <v>704</v>
      </c>
      <c r="C78" s="4" t="s">
        <v>485</v>
      </c>
      <c r="D78" s="4" t="n">
        <v>1</v>
      </c>
      <c r="E78" s="4" t="n">
        <v>1</v>
      </c>
      <c r="F78" s="4" t="s">
        <v>705</v>
      </c>
      <c r="G78" s="4" t="s">
        <v>706</v>
      </c>
    </row>
    <row r="79" customFormat="false" ht="23.85" hidden="false" customHeight="false" outlineLevel="0" collapsed="false">
      <c r="A79" s="2" t="s">
        <v>423</v>
      </c>
      <c r="B79" s="2" t="s">
        <v>707</v>
      </c>
      <c r="C79" s="4" t="s">
        <v>57</v>
      </c>
      <c r="D79" s="4" t="n">
        <v>1</v>
      </c>
      <c r="E79" s="4" t="n">
        <v>1</v>
      </c>
      <c r="F79" s="4" t="s">
        <v>708</v>
      </c>
      <c r="G79" s="4" t="s">
        <v>709</v>
      </c>
    </row>
    <row r="80" customFormat="false" ht="15" hidden="false" customHeight="false" outlineLevel="0" collapsed="false">
      <c r="A80" s="2" t="s">
        <v>310</v>
      </c>
      <c r="B80" s="2" t="s">
        <v>710</v>
      </c>
      <c r="C80" s="4" t="s">
        <v>485</v>
      </c>
      <c r="D80" s="4" t="n">
        <v>1</v>
      </c>
      <c r="E80" s="4" t="n">
        <v>1</v>
      </c>
      <c r="F80" s="4" t="s">
        <v>711</v>
      </c>
      <c r="G80" s="4" t="s">
        <v>712</v>
      </c>
    </row>
    <row r="81" customFormat="false" ht="15" hidden="false" customHeight="false" outlineLevel="0" collapsed="false">
      <c r="A81" s="2" t="s">
        <v>406</v>
      </c>
      <c r="B81" s="2" t="s">
        <v>713</v>
      </c>
      <c r="C81" s="4" t="s">
        <v>57</v>
      </c>
      <c r="D81" s="4" t="n">
        <v>1</v>
      </c>
      <c r="E81" s="4" t="n">
        <v>1</v>
      </c>
      <c r="F81" s="4" t="s">
        <v>714</v>
      </c>
      <c r="G81" s="4" t="s">
        <v>715</v>
      </c>
    </row>
    <row r="82" customFormat="false" ht="15" hidden="false" customHeight="false" outlineLevel="0" collapsed="false">
      <c r="A82" s="2" t="s">
        <v>431</v>
      </c>
      <c r="B82" s="2" t="s">
        <v>431</v>
      </c>
      <c r="C82" s="4" t="s">
        <v>485</v>
      </c>
      <c r="D82" s="4" t="n">
        <v>1</v>
      </c>
      <c r="E82" s="4" t="n">
        <v>1</v>
      </c>
      <c r="F82" s="4" t="s">
        <v>716</v>
      </c>
      <c r="G82" s="4" t="s">
        <v>717</v>
      </c>
    </row>
    <row r="83" customFormat="false" ht="15" hidden="false" customHeight="false" outlineLevel="0" collapsed="false">
      <c r="A83" s="2" t="s">
        <v>433</v>
      </c>
      <c r="B83" s="2" t="s">
        <v>718</v>
      </c>
      <c r="C83" s="4" t="s">
        <v>57</v>
      </c>
      <c r="D83" s="4" t="n">
        <v>1</v>
      </c>
      <c r="E83" s="4" t="n">
        <v>1</v>
      </c>
      <c r="F83" s="4" t="s">
        <v>719</v>
      </c>
      <c r="G83" s="4" t="s">
        <v>720</v>
      </c>
    </row>
    <row r="84" customFormat="false" ht="15" hidden="false" customHeight="false" outlineLevel="0" collapsed="false">
      <c r="A84" s="2" t="s">
        <v>410</v>
      </c>
      <c r="B84" s="2" t="s">
        <v>721</v>
      </c>
      <c r="C84" s="4" t="s">
        <v>485</v>
      </c>
      <c r="D84" s="4" t="n">
        <v>1</v>
      </c>
      <c r="E84" s="4" t="n">
        <v>1</v>
      </c>
      <c r="F84" s="4" t="s">
        <v>722</v>
      </c>
      <c r="G84" s="4" t="s">
        <v>723</v>
      </c>
    </row>
    <row r="85" customFormat="false" ht="23.85" hidden="false" customHeight="false" outlineLevel="0" collapsed="false">
      <c r="A85" s="2" t="s">
        <v>435</v>
      </c>
      <c r="B85" s="2" t="s">
        <v>724</v>
      </c>
      <c r="C85" s="4" t="s">
        <v>57</v>
      </c>
      <c r="D85" s="4" t="n">
        <v>0</v>
      </c>
      <c r="E85" s="4" t="n">
        <v>3690</v>
      </c>
      <c r="F85" s="4" t="s">
        <v>725</v>
      </c>
      <c r="G85" s="4" t="s">
        <v>726</v>
      </c>
    </row>
    <row r="86" customFormat="false" ht="23.85" hidden="false" customHeight="false" outlineLevel="0" collapsed="false">
      <c r="A86" s="2" t="s">
        <v>435</v>
      </c>
      <c r="B86" s="2" t="s">
        <v>727</v>
      </c>
      <c r="C86" s="4" t="s">
        <v>57</v>
      </c>
      <c r="D86" s="4" t="n">
        <v>0</v>
      </c>
      <c r="E86" s="4" t="n">
        <v>2590</v>
      </c>
      <c r="F86" s="4" t="s">
        <v>728</v>
      </c>
      <c r="G86" s="4" t="s">
        <v>729</v>
      </c>
    </row>
    <row r="87" customFormat="false" ht="23.85" hidden="false" customHeight="false" outlineLevel="0" collapsed="false">
      <c r="A87" s="2" t="s">
        <v>435</v>
      </c>
      <c r="B87" s="2" t="s">
        <v>730</v>
      </c>
      <c r="C87" s="4" t="s">
        <v>57</v>
      </c>
      <c r="D87" s="4" t="n">
        <v>0</v>
      </c>
      <c r="E87" s="4" t="n">
        <v>1330</v>
      </c>
      <c r="F87" s="4" t="s">
        <v>731</v>
      </c>
      <c r="G87" s="4" t="s">
        <v>732</v>
      </c>
    </row>
    <row r="88" customFormat="false" ht="23.85" hidden="false" customHeight="false" outlineLevel="0" collapsed="false">
      <c r="A88" s="2" t="s">
        <v>435</v>
      </c>
      <c r="B88" s="2" t="s">
        <v>733</v>
      </c>
      <c r="C88" s="4" t="s">
        <v>57</v>
      </c>
      <c r="D88" s="4" t="n">
        <v>0</v>
      </c>
      <c r="E88" s="4" t="n">
        <v>417</v>
      </c>
      <c r="F88" s="4" t="s">
        <v>734</v>
      </c>
      <c r="G88" s="4" t="s">
        <v>735</v>
      </c>
    </row>
    <row r="89" customFormat="false" ht="15" hidden="false" customHeight="false" outlineLevel="0" collapsed="false">
      <c r="A89" s="2" t="s">
        <v>406</v>
      </c>
      <c r="B89" s="2" t="s">
        <v>736</v>
      </c>
      <c r="C89" s="4" t="s">
        <v>485</v>
      </c>
      <c r="D89" s="4" t="n">
        <v>0</v>
      </c>
      <c r="E89" s="4" t="n">
        <v>252</v>
      </c>
      <c r="F89" s="4" t="s">
        <v>737</v>
      </c>
      <c r="G89" s="4" t="s">
        <v>738</v>
      </c>
    </row>
    <row r="90" customFormat="false" ht="23.85" hidden="false" customHeight="false" outlineLevel="0" collapsed="false">
      <c r="A90" s="2" t="s">
        <v>437</v>
      </c>
      <c r="B90" s="2" t="s">
        <v>739</v>
      </c>
      <c r="C90" s="4" t="s">
        <v>57</v>
      </c>
      <c r="D90" s="4" t="n">
        <v>0</v>
      </c>
      <c r="E90" s="4" t="n">
        <v>166</v>
      </c>
      <c r="F90" s="4" t="s">
        <v>740</v>
      </c>
      <c r="G90" s="4" t="s">
        <v>741</v>
      </c>
    </row>
    <row r="91" customFormat="false" ht="23.85" hidden="false" customHeight="false" outlineLevel="0" collapsed="false">
      <c r="A91" s="2" t="s">
        <v>435</v>
      </c>
      <c r="B91" s="2" t="s">
        <v>742</v>
      </c>
      <c r="C91" s="4" t="s">
        <v>57</v>
      </c>
      <c r="D91" s="4" t="n">
        <v>0</v>
      </c>
      <c r="E91" s="4" t="n">
        <v>110</v>
      </c>
      <c r="F91" s="4" t="s">
        <v>743</v>
      </c>
      <c r="G91" s="4" t="s">
        <v>744</v>
      </c>
    </row>
    <row r="92" customFormat="false" ht="23.85" hidden="false" customHeight="false" outlineLevel="0" collapsed="false">
      <c r="A92" s="2" t="s">
        <v>439</v>
      </c>
      <c r="B92" s="2" t="s">
        <v>745</v>
      </c>
      <c r="C92" s="4" t="s">
        <v>40</v>
      </c>
      <c r="D92" s="4" t="n">
        <v>0</v>
      </c>
      <c r="E92" s="4" t="n">
        <v>58</v>
      </c>
      <c r="F92" s="4" t="s">
        <v>746</v>
      </c>
      <c r="G92" s="4" t="s">
        <v>747</v>
      </c>
    </row>
    <row r="93" customFormat="false" ht="15" hidden="false" customHeight="false" outlineLevel="0" collapsed="false">
      <c r="A93" s="2" t="s">
        <v>441</v>
      </c>
      <c r="B93" s="2" t="s">
        <v>748</v>
      </c>
      <c r="C93" s="4" t="s">
        <v>40</v>
      </c>
      <c r="D93" s="4" t="n">
        <v>0</v>
      </c>
      <c r="E93" s="4" t="n">
        <v>26</v>
      </c>
      <c r="F93" s="4" t="s">
        <v>749</v>
      </c>
      <c r="G93" s="4" t="s">
        <v>750</v>
      </c>
    </row>
    <row r="94" customFormat="false" ht="15" hidden="false" customHeight="false" outlineLevel="0" collapsed="false">
      <c r="A94" s="2" t="s">
        <v>308</v>
      </c>
      <c r="B94" s="2" t="s">
        <v>751</v>
      </c>
      <c r="C94" s="4" t="s">
        <v>40</v>
      </c>
      <c r="D94" s="4" t="n">
        <v>0</v>
      </c>
      <c r="E94" s="4" t="n">
        <v>25</v>
      </c>
      <c r="F94" s="4" t="s">
        <v>752</v>
      </c>
      <c r="G94" s="4" t="s">
        <v>753</v>
      </c>
    </row>
    <row r="95" customFormat="false" ht="15" hidden="false" customHeight="false" outlineLevel="0" collapsed="false">
      <c r="A95" s="2" t="s">
        <v>443</v>
      </c>
      <c r="B95" s="2" t="s">
        <v>443</v>
      </c>
      <c r="C95" s="4" t="s">
        <v>57</v>
      </c>
      <c r="D95" s="4" t="n">
        <v>0</v>
      </c>
      <c r="E95" s="4" t="n">
        <v>20</v>
      </c>
      <c r="F95" s="4" t="s">
        <v>754</v>
      </c>
      <c r="G95" s="4" t="s">
        <v>755</v>
      </c>
    </row>
    <row r="96" customFormat="false" ht="23.85" hidden="false" customHeight="false" outlineLevel="0" collapsed="false">
      <c r="A96" s="2" t="s">
        <v>445</v>
      </c>
      <c r="B96" s="2" t="s">
        <v>756</v>
      </c>
      <c r="C96" s="4" t="s">
        <v>57</v>
      </c>
      <c r="D96" s="4" t="n">
        <v>0</v>
      </c>
      <c r="E96" s="4" t="n">
        <v>16</v>
      </c>
      <c r="F96" s="4" t="s">
        <v>757</v>
      </c>
      <c r="G96" s="4" t="s">
        <v>758</v>
      </c>
    </row>
    <row r="97" customFormat="false" ht="23.85" hidden="false" customHeight="false" outlineLevel="0" collapsed="false">
      <c r="A97" s="2" t="s">
        <v>318</v>
      </c>
      <c r="B97" s="2" t="s">
        <v>759</v>
      </c>
      <c r="C97" s="4" t="s">
        <v>40</v>
      </c>
      <c r="D97" s="4" t="n">
        <v>0</v>
      </c>
      <c r="E97" s="4" t="n">
        <v>12</v>
      </c>
      <c r="F97" s="4" t="s">
        <v>760</v>
      </c>
      <c r="G97" s="4" t="s">
        <v>761</v>
      </c>
    </row>
    <row r="98" customFormat="false" ht="15" hidden="false" customHeight="false" outlineLevel="0" collapsed="false">
      <c r="A98" s="2" t="s">
        <v>308</v>
      </c>
      <c r="B98" s="2" t="s">
        <v>762</v>
      </c>
      <c r="C98" s="4" t="s">
        <v>57</v>
      </c>
      <c r="D98" s="4" t="n">
        <v>0</v>
      </c>
      <c r="E98" s="4" t="n">
        <v>11</v>
      </c>
      <c r="F98" s="4" t="s">
        <v>763</v>
      </c>
      <c r="G98" s="4" t="s">
        <v>764</v>
      </c>
    </row>
    <row r="99" customFormat="false" ht="15" hidden="false" customHeight="false" outlineLevel="0" collapsed="false">
      <c r="A99" s="2" t="s">
        <v>364</v>
      </c>
      <c r="B99" s="2" t="s">
        <v>765</v>
      </c>
      <c r="C99" s="4" t="s">
        <v>57</v>
      </c>
      <c r="D99" s="4" t="n">
        <v>0</v>
      </c>
      <c r="E99" s="4" t="n">
        <v>10</v>
      </c>
      <c r="F99" s="4" t="s">
        <v>766</v>
      </c>
      <c r="G99" s="4" t="s">
        <v>767</v>
      </c>
    </row>
    <row r="100" customFormat="false" ht="15" hidden="false" customHeight="false" outlineLevel="0" collapsed="false">
      <c r="A100" s="2" t="s">
        <v>406</v>
      </c>
      <c r="B100" s="2" t="s">
        <v>768</v>
      </c>
      <c r="C100" s="4" t="s">
        <v>485</v>
      </c>
      <c r="D100" s="4" t="n">
        <v>0</v>
      </c>
      <c r="E100" s="4" t="n">
        <v>7</v>
      </c>
      <c r="F100" s="4" t="s">
        <v>769</v>
      </c>
      <c r="G100" s="4" t="s">
        <v>770</v>
      </c>
    </row>
    <row r="101" customFormat="false" ht="15" hidden="false" customHeight="false" outlineLevel="0" collapsed="false">
      <c r="A101" s="2" t="s">
        <v>447</v>
      </c>
      <c r="B101" s="2" t="s">
        <v>771</v>
      </c>
      <c r="C101" s="4" t="s">
        <v>485</v>
      </c>
      <c r="D101" s="4" t="n">
        <v>0</v>
      </c>
      <c r="E101" s="4" t="n">
        <v>6</v>
      </c>
      <c r="F101" s="4" t="s">
        <v>772</v>
      </c>
      <c r="G101" s="4" t="s">
        <v>773</v>
      </c>
    </row>
    <row r="102" customFormat="false" ht="15" hidden="false" customHeight="false" outlineLevel="0" collapsed="false">
      <c r="A102" s="2" t="s">
        <v>410</v>
      </c>
      <c r="B102" s="2" t="s">
        <v>774</v>
      </c>
      <c r="C102" s="4" t="s">
        <v>57</v>
      </c>
      <c r="D102" s="4" t="n">
        <v>0</v>
      </c>
      <c r="E102" s="4" t="n">
        <v>4</v>
      </c>
      <c r="F102" s="4" t="s">
        <v>775</v>
      </c>
      <c r="G102" s="4" t="s">
        <v>776</v>
      </c>
    </row>
    <row r="103" customFormat="false" ht="23.85" hidden="false" customHeight="false" outlineLevel="0" collapsed="false">
      <c r="A103" s="2" t="s">
        <v>439</v>
      </c>
      <c r="B103" s="2" t="s">
        <v>777</v>
      </c>
      <c r="C103" s="4" t="s">
        <v>40</v>
      </c>
      <c r="D103" s="4" t="n">
        <v>0</v>
      </c>
      <c r="E103" s="4" t="n">
        <v>3</v>
      </c>
      <c r="F103" s="4" t="s">
        <v>778</v>
      </c>
      <c r="G103" s="4" t="s">
        <v>779</v>
      </c>
    </row>
    <row r="104" customFormat="false" ht="23.85" hidden="false" customHeight="false" outlineLevel="0" collapsed="false">
      <c r="A104" s="2" t="s">
        <v>449</v>
      </c>
      <c r="B104" s="2" t="s">
        <v>780</v>
      </c>
      <c r="C104" s="4" t="s">
        <v>40</v>
      </c>
      <c r="D104" s="4" t="n">
        <v>0</v>
      </c>
      <c r="E104" s="4" t="n">
        <v>3</v>
      </c>
      <c r="F104" s="4" t="s">
        <v>781</v>
      </c>
      <c r="G104" s="4" t="s">
        <v>782</v>
      </c>
    </row>
    <row r="105" customFormat="false" ht="15" hidden="false" customHeight="false" outlineLevel="0" collapsed="false">
      <c r="A105" s="2" t="s">
        <v>451</v>
      </c>
      <c r="B105" s="2" t="s">
        <v>783</v>
      </c>
      <c r="C105" s="4" t="s">
        <v>485</v>
      </c>
      <c r="D105" s="4" t="n">
        <v>0</v>
      </c>
      <c r="E105" s="4" t="n">
        <v>3</v>
      </c>
      <c r="F105" s="4" t="s">
        <v>784</v>
      </c>
      <c r="G105" s="4" t="s">
        <v>785</v>
      </c>
    </row>
    <row r="106" customFormat="false" ht="15" hidden="false" customHeight="false" outlineLevel="0" collapsed="false">
      <c r="A106" s="2" t="s">
        <v>356</v>
      </c>
      <c r="B106" s="2" t="s">
        <v>786</v>
      </c>
      <c r="C106" s="4" t="s">
        <v>57</v>
      </c>
      <c r="D106" s="4" t="n">
        <v>0</v>
      </c>
      <c r="E106" s="4" t="n">
        <v>3</v>
      </c>
      <c r="F106" s="4" t="s">
        <v>787</v>
      </c>
      <c r="G106" s="4" t="s">
        <v>788</v>
      </c>
    </row>
    <row r="107" customFormat="false" ht="15" hidden="false" customHeight="false" outlineLevel="0" collapsed="false">
      <c r="A107" s="2" t="s">
        <v>368</v>
      </c>
      <c r="B107" s="2" t="s">
        <v>789</v>
      </c>
      <c r="C107" s="4" t="s">
        <v>57</v>
      </c>
      <c r="D107" s="4" t="n">
        <v>0</v>
      </c>
      <c r="E107" s="4" t="n">
        <v>2</v>
      </c>
      <c r="F107" s="4" t="s">
        <v>790</v>
      </c>
      <c r="G107" s="4" t="s">
        <v>791</v>
      </c>
    </row>
    <row r="108" customFormat="false" ht="15" hidden="false" customHeight="false" outlineLevel="0" collapsed="false">
      <c r="A108" s="2" t="s">
        <v>463</v>
      </c>
      <c r="B108" s="2" t="s">
        <v>792</v>
      </c>
      <c r="C108" s="4" t="s">
        <v>57</v>
      </c>
      <c r="D108" s="4" t="n">
        <v>0</v>
      </c>
      <c r="E108" s="4" t="n">
        <v>2</v>
      </c>
      <c r="F108" s="4" t="s">
        <v>793</v>
      </c>
      <c r="G108" s="4" t="s">
        <v>794</v>
      </c>
    </row>
    <row r="109" customFormat="false" ht="15" hidden="false" customHeight="false" outlineLevel="0" collapsed="false">
      <c r="A109" s="2" t="s">
        <v>380</v>
      </c>
      <c r="B109" s="2" t="s">
        <v>795</v>
      </c>
      <c r="C109" s="4" t="s">
        <v>57</v>
      </c>
      <c r="D109" s="4" t="n">
        <v>0</v>
      </c>
      <c r="E109" s="4" t="n">
        <v>2</v>
      </c>
      <c r="F109" s="4" t="s">
        <v>796</v>
      </c>
      <c r="G109" s="4" t="s">
        <v>797</v>
      </c>
    </row>
    <row r="110" customFormat="false" ht="15" hidden="false" customHeight="false" outlineLevel="0" collapsed="false">
      <c r="A110" s="2" t="s">
        <v>454</v>
      </c>
      <c r="B110" s="2" t="s">
        <v>798</v>
      </c>
      <c r="C110" s="4" t="s">
        <v>40</v>
      </c>
      <c r="D110" s="4" t="n">
        <v>0</v>
      </c>
      <c r="E110" s="4" t="n">
        <v>2</v>
      </c>
      <c r="F110" s="4" t="s">
        <v>799</v>
      </c>
      <c r="G110" s="4" t="s">
        <v>800</v>
      </c>
    </row>
    <row r="111" customFormat="false" ht="15" hidden="false" customHeight="false" outlineLevel="0" collapsed="false">
      <c r="A111" s="2" t="s">
        <v>410</v>
      </c>
      <c r="B111" s="2" t="s">
        <v>801</v>
      </c>
      <c r="C111" s="4" t="s">
        <v>485</v>
      </c>
      <c r="D111" s="4" t="n">
        <v>0</v>
      </c>
      <c r="E111" s="4" t="n">
        <v>2</v>
      </c>
      <c r="F111" s="4" t="s">
        <v>802</v>
      </c>
      <c r="G111" s="4" t="s">
        <v>803</v>
      </c>
    </row>
    <row r="112" customFormat="false" ht="15" hidden="false" customHeight="false" outlineLevel="0" collapsed="false">
      <c r="A112" s="2" t="s">
        <v>461</v>
      </c>
      <c r="B112" s="2" t="s">
        <v>804</v>
      </c>
      <c r="C112" s="4" t="s">
        <v>57</v>
      </c>
      <c r="D112" s="4" t="n">
        <v>0</v>
      </c>
      <c r="E112" s="4" t="n">
        <v>2</v>
      </c>
      <c r="F112" s="4" t="s">
        <v>805</v>
      </c>
      <c r="G112" s="4" t="s">
        <v>806</v>
      </c>
    </row>
    <row r="113" customFormat="false" ht="15" hidden="false" customHeight="false" outlineLevel="0" collapsed="false">
      <c r="A113" s="2" t="s">
        <v>376</v>
      </c>
      <c r="B113" s="2" t="s">
        <v>807</v>
      </c>
      <c r="C113" s="4" t="s">
        <v>485</v>
      </c>
      <c r="D113" s="4" t="n">
        <v>0</v>
      </c>
      <c r="E113" s="4" t="n">
        <v>2</v>
      </c>
      <c r="F113" s="4" t="s">
        <v>808</v>
      </c>
      <c r="G113" s="4" t="s">
        <v>809</v>
      </c>
    </row>
    <row r="114" customFormat="false" ht="15" hidden="false" customHeight="false" outlineLevel="0" collapsed="false">
      <c r="A114" s="2" t="s">
        <v>468</v>
      </c>
      <c r="B114" s="2" t="s">
        <v>810</v>
      </c>
      <c r="C114" s="4" t="s">
        <v>57</v>
      </c>
      <c r="D114" s="4" t="n">
        <v>0</v>
      </c>
      <c r="E114" s="4" t="n">
        <v>1</v>
      </c>
      <c r="F114" s="4" t="s">
        <v>811</v>
      </c>
      <c r="G114" s="4" t="s">
        <v>812</v>
      </c>
    </row>
    <row r="115" customFormat="false" ht="15" hidden="false" customHeight="false" outlineLevel="0" collapsed="false">
      <c r="A115" s="2" t="s">
        <v>308</v>
      </c>
      <c r="B115" s="2" t="s">
        <v>813</v>
      </c>
      <c r="C115" s="4" t="s">
        <v>485</v>
      </c>
      <c r="D115" s="4" t="n">
        <v>0</v>
      </c>
      <c r="E115" s="4" t="n">
        <v>1</v>
      </c>
      <c r="F115" s="4" t="s">
        <v>814</v>
      </c>
      <c r="G115" s="4" t="s">
        <v>815</v>
      </c>
    </row>
    <row r="116" customFormat="false" ht="15" hidden="false" customHeight="false" outlineLevel="0" collapsed="false">
      <c r="A116" s="2" t="s">
        <v>406</v>
      </c>
      <c r="B116" s="2" t="s">
        <v>816</v>
      </c>
      <c r="C116" s="4" t="s">
        <v>485</v>
      </c>
      <c r="D116" s="4" t="n">
        <v>0</v>
      </c>
      <c r="E116" s="4" t="n">
        <v>1</v>
      </c>
      <c r="F116" s="4" t="s">
        <v>817</v>
      </c>
      <c r="G116" s="4" t="s">
        <v>818</v>
      </c>
    </row>
    <row r="117" customFormat="false" ht="15" hidden="false" customHeight="false" outlineLevel="0" collapsed="false">
      <c r="A117" s="2" t="s">
        <v>466</v>
      </c>
      <c r="B117" s="2" t="s">
        <v>819</v>
      </c>
      <c r="C117" s="4" t="s">
        <v>485</v>
      </c>
      <c r="D117" s="4" t="n">
        <v>0</v>
      </c>
      <c r="E117" s="4" t="n">
        <v>1</v>
      </c>
      <c r="F117" s="4" t="s">
        <v>820</v>
      </c>
      <c r="G117" s="4" t="s">
        <v>821</v>
      </c>
    </row>
    <row r="118" customFormat="false" ht="23.85" hidden="false" customHeight="false" outlineLevel="0" collapsed="false">
      <c r="A118" s="2" t="s">
        <v>418</v>
      </c>
      <c r="B118" s="2" t="s">
        <v>822</v>
      </c>
      <c r="C118" s="4" t="s">
        <v>57</v>
      </c>
      <c r="D118" s="4" t="n">
        <v>0</v>
      </c>
      <c r="E118" s="4" t="n">
        <v>1</v>
      </c>
      <c r="F118" s="4" t="s">
        <v>823</v>
      </c>
      <c r="G118" s="4" t="s">
        <v>824</v>
      </c>
    </row>
    <row r="119" customFormat="false" ht="15" hidden="false" customHeight="false" outlineLevel="0" collapsed="false">
      <c r="A119" s="2" t="s">
        <v>470</v>
      </c>
      <c r="B119" s="2" t="s">
        <v>825</v>
      </c>
      <c r="C119" s="4" t="s">
        <v>40</v>
      </c>
      <c r="D119" s="4" t="n">
        <v>0</v>
      </c>
      <c r="E119" s="4" t="n">
        <v>1</v>
      </c>
      <c r="F119" s="4" t="s">
        <v>826</v>
      </c>
      <c r="G119" s="4" t="s">
        <v>827</v>
      </c>
    </row>
    <row r="120" customFormat="false" ht="15" hidden="false" customHeight="false" outlineLevel="0" collapsed="false">
      <c r="A120" s="2" t="s">
        <v>406</v>
      </c>
      <c r="B120" s="2" t="s">
        <v>828</v>
      </c>
      <c r="C120" s="4" t="s">
        <v>485</v>
      </c>
      <c r="D120" s="4" t="n">
        <v>0</v>
      </c>
      <c r="E120" s="4" t="n">
        <v>1</v>
      </c>
      <c r="F120" s="4" t="s">
        <v>829</v>
      </c>
      <c r="G120" s="4" t="s">
        <v>830</v>
      </c>
    </row>
    <row r="121" customFormat="false" ht="15" hidden="false" customHeight="false" outlineLevel="0" collapsed="false">
      <c r="A121" s="2" t="s">
        <v>459</v>
      </c>
      <c r="B121" s="2" t="s">
        <v>831</v>
      </c>
      <c r="C121" s="4" t="s">
        <v>57</v>
      </c>
      <c r="D121" s="4" t="n">
        <v>0</v>
      </c>
      <c r="E121" s="4" t="n">
        <v>1</v>
      </c>
      <c r="F121" s="4" t="s">
        <v>832</v>
      </c>
      <c r="G121" s="4" t="s">
        <v>833</v>
      </c>
    </row>
    <row r="122" customFormat="false" ht="15" hidden="false" customHeight="false" outlineLevel="0" collapsed="false">
      <c r="A122" s="2" t="s">
        <v>358</v>
      </c>
      <c r="B122" s="2" t="s">
        <v>834</v>
      </c>
      <c r="C122" s="4" t="s">
        <v>57</v>
      </c>
      <c r="D122" s="4" t="n">
        <v>0</v>
      </c>
      <c r="E122" s="4" t="n">
        <v>1</v>
      </c>
      <c r="F122" s="4" t="s">
        <v>835</v>
      </c>
      <c r="G122" s="4" t="s">
        <v>836</v>
      </c>
    </row>
    <row r="123" customFormat="false" ht="15" hidden="false" customHeight="false" outlineLevel="0" collapsed="false">
      <c r="A123" s="2" t="s">
        <v>456</v>
      </c>
      <c r="B123" s="2" t="s">
        <v>837</v>
      </c>
      <c r="C123" s="4" t="s">
        <v>485</v>
      </c>
      <c r="D123" s="4" t="n">
        <v>0</v>
      </c>
      <c r="E123" s="4" t="n">
        <v>1</v>
      </c>
      <c r="F123" s="4" t="s">
        <v>838</v>
      </c>
      <c r="G123" s="4" t="s">
        <v>839</v>
      </c>
    </row>
    <row r="124" customFormat="false" ht="23.85" hidden="false" customHeight="false" outlineLevel="0" collapsed="false">
      <c r="A124" s="2" t="s">
        <v>406</v>
      </c>
      <c r="B124" s="2" t="s">
        <v>840</v>
      </c>
      <c r="C124" s="4" t="s">
        <v>485</v>
      </c>
      <c r="D124" s="4" t="n">
        <v>0</v>
      </c>
      <c r="E124" s="4" t="n">
        <v>1</v>
      </c>
      <c r="F124" s="4" t="s">
        <v>841</v>
      </c>
      <c r="G124" s="4" t="s">
        <v>842</v>
      </c>
    </row>
    <row r="125" customFormat="false" ht="23.85" hidden="false" customHeight="false" outlineLevel="0" collapsed="false">
      <c r="A125" s="2" t="s">
        <v>418</v>
      </c>
      <c r="B125" s="2" t="s">
        <v>843</v>
      </c>
      <c r="C125" s="4" t="s">
        <v>57</v>
      </c>
      <c r="D125" s="4" t="n">
        <v>0</v>
      </c>
      <c r="E125" s="4" t="n">
        <v>1</v>
      </c>
      <c r="F125" s="4" t="s">
        <v>844</v>
      </c>
      <c r="G125" s="4" t="s">
        <v>845</v>
      </c>
    </row>
    <row r="126" customFormat="false" ht="15" hidden="false" customHeight="false" outlineLevel="0" collapsed="false">
      <c r="A126" s="2" t="s">
        <v>406</v>
      </c>
      <c r="B126" s="2" t="s">
        <v>846</v>
      </c>
      <c r="C126" s="4" t="s">
        <v>485</v>
      </c>
      <c r="D126" s="4" t="n">
        <v>0</v>
      </c>
      <c r="E126" s="4" t="n">
        <v>1</v>
      </c>
      <c r="F126" s="4" t="s">
        <v>847</v>
      </c>
      <c r="G126" s="4" t="s">
        <v>848</v>
      </c>
    </row>
    <row r="127" customFormat="false" ht="15" hidden="false" customHeight="false" outlineLevel="0" collapsed="false">
      <c r="A127" s="2" t="s">
        <v>459</v>
      </c>
      <c r="B127" s="2" t="s">
        <v>849</v>
      </c>
      <c r="C127" s="4" t="s">
        <v>57</v>
      </c>
      <c r="D127" s="4" t="n">
        <v>0</v>
      </c>
      <c r="E127" s="4" t="n">
        <v>1</v>
      </c>
      <c r="F127" s="4" t="s">
        <v>850</v>
      </c>
      <c r="G127" s="4" t="s">
        <v>851</v>
      </c>
    </row>
    <row r="128" customFormat="false" ht="15" hidden="false" customHeight="false" outlineLevel="0" collapsed="false">
      <c r="A128" s="2" t="s">
        <v>456</v>
      </c>
      <c r="B128" s="2" t="s">
        <v>852</v>
      </c>
      <c r="C128" s="4" t="s">
        <v>485</v>
      </c>
      <c r="D128" s="4" t="n">
        <v>0</v>
      </c>
      <c r="E128" s="4" t="n">
        <v>1</v>
      </c>
      <c r="F128" s="4" t="s">
        <v>853</v>
      </c>
      <c r="G128" s="4" t="s">
        <v>854</v>
      </c>
    </row>
    <row r="129" customFormat="false" ht="15" hidden="false" customHeight="false" outlineLevel="0" collapsed="false">
      <c r="A129" s="2" t="s">
        <v>416</v>
      </c>
      <c r="B129" s="2" t="s">
        <v>855</v>
      </c>
      <c r="C129" s="4" t="s">
        <v>40</v>
      </c>
      <c r="D129" s="4" t="n">
        <v>0</v>
      </c>
      <c r="E129" s="4" t="n">
        <v>1</v>
      </c>
      <c r="F129" s="4" t="s">
        <v>856</v>
      </c>
      <c r="G129" s="4" t="s">
        <v>857</v>
      </c>
    </row>
    <row r="130" customFormat="false" ht="23.85" hidden="false" customHeight="false" outlineLevel="0" collapsed="false">
      <c r="A130" s="2" t="s">
        <v>406</v>
      </c>
      <c r="B130" s="2" t="s">
        <v>858</v>
      </c>
      <c r="C130" s="4" t="s">
        <v>485</v>
      </c>
      <c r="D130" s="4" t="n">
        <v>0</v>
      </c>
      <c r="E130" s="4" t="n">
        <v>1</v>
      </c>
      <c r="F130" s="4" t="s">
        <v>859</v>
      </c>
      <c r="G130" s="4" t="s">
        <v>860</v>
      </c>
    </row>
    <row r="131" customFormat="false" ht="15" hidden="false" customHeight="false" outlineLevel="0" collapsed="false">
      <c r="A131" s="2" t="s">
        <v>393</v>
      </c>
      <c r="B131" s="2" t="s">
        <v>861</v>
      </c>
      <c r="C131" s="4" t="s">
        <v>485</v>
      </c>
      <c r="D131" s="4" t="n">
        <v>0</v>
      </c>
      <c r="E131" s="4" t="n">
        <v>1</v>
      </c>
      <c r="F131" s="4" t="s">
        <v>862</v>
      </c>
      <c r="G131" s="4" t="s">
        <v>863</v>
      </c>
    </row>
  </sheetData>
  <autoFilter ref="A1:G1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6"/>
    <col collapsed="false" customWidth="true" hidden="false" outlineLevel="0" max="3" min="3" style="0" width="42"/>
    <col collapsed="false" customWidth="true" hidden="false" outlineLevel="0" max="5" min="4" style="0" width="14"/>
    <col collapsed="false" customWidth="true" hidden="false" outlineLevel="0" max="6" min="6" style="0" width="30"/>
  </cols>
  <sheetData>
    <row r="1" customFormat="false" ht="52.2" hidden="false" customHeight="false" outlineLevel="0" collapsed="false">
      <c r="A1" s="3" t="s">
        <v>864</v>
      </c>
      <c r="B1" s="3" t="s">
        <v>865</v>
      </c>
      <c r="C1" s="3" t="s">
        <v>866</v>
      </c>
      <c r="D1" s="3" t="s">
        <v>867</v>
      </c>
      <c r="E1" s="3" t="s">
        <v>868</v>
      </c>
      <c r="F1" s="3" t="s">
        <v>869</v>
      </c>
    </row>
    <row r="2" customFormat="false" ht="15" hidden="false" customHeight="false" outlineLevel="0" collapsed="false">
      <c r="A2" s="4" t="s">
        <v>870</v>
      </c>
      <c r="B2" s="4" t="s">
        <v>871</v>
      </c>
      <c r="C2" s="2" t="s">
        <v>872</v>
      </c>
      <c r="D2" s="4" t="n">
        <v>3</v>
      </c>
      <c r="E2" s="4" t="n">
        <v>4</v>
      </c>
      <c r="F2" s="4" t="s">
        <v>873</v>
      </c>
    </row>
    <row r="3" customFormat="false" ht="23.85" hidden="false" customHeight="false" outlineLevel="0" collapsed="false">
      <c r="A3" s="4" t="s">
        <v>874</v>
      </c>
      <c r="B3" s="4" t="s">
        <v>875</v>
      </c>
      <c r="C3" s="2" t="s">
        <v>876</v>
      </c>
      <c r="D3" s="4" t="n">
        <v>5</v>
      </c>
      <c r="E3" s="4" t="n">
        <v>6</v>
      </c>
      <c r="F3" s="4" t="s">
        <v>877</v>
      </c>
    </row>
    <row r="4" customFormat="false" ht="15" hidden="false" customHeight="false" outlineLevel="0" collapsed="false">
      <c r="A4" s="4" t="s">
        <v>878</v>
      </c>
      <c r="B4" s="4" t="s">
        <v>879</v>
      </c>
      <c r="C4" s="2" t="s">
        <v>880</v>
      </c>
      <c r="D4" s="4" t="n">
        <v>4</v>
      </c>
      <c r="E4" s="4" t="n">
        <v>4</v>
      </c>
      <c r="F4" s="4" t="s">
        <v>881</v>
      </c>
    </row>
    <row r="5" customFormat="false" ht="15" hidden="false" customHeight="false" outlineLevel="0" collapsed="false">
      <c r="A5" s="4" t="s">
        <v>882</v>
      </c>
      <c r="B5" s="4" t="s">
        <v>883</v>
      </c>
      <c r="C5" s="2" t="s">
        <v>884</v>
      </c>
      <c r="D5" s="4" t="n">
        <v>1</v>
      </c>
      <c r="E5" s="4" t="n">
        <v>1</v>
      </c>
      <c r="F5" s="4" t="s">
        <v>885</v>
      </c>
    </row>
    <row r="6" customFormat="false" ht="15" hidden="false" customHeight="false" outlineLevel="0" collapsed="false">
      <c r="A6" s="4" t="s">
        <v>886</v>
      </c>
      <c r="B6" s="4" t="s">
        <v>887</v>
      </c>
      <c r="C6" s="2" t="s">
        <v>888</v>
      </c>
      <c r="D6" s="4" t="n">
        <v>0</v>
      </c>
      <c r="E6" s="4" t="n">
        <v>1</v>
      </c>
      <c r="F6" s="4" t="s">
        <v>877</v>
      </c>
    </row>
    <row r="7" customFormat="false" ht="15" hidden="false" customHeight="false" outlineLevel="0" collapsed="false">
      <c r="A7" s="4" t="s">
        <v>889</v>
      </c>
      <c r="B7" s="4" t="s">
        <v>890</v>
      </c>
      <c r="C7" s="2" t="s">
        <v>891</v>
      </c>
      <c r="D7" s="4" t="n">
        <v>90</v>
      </c>
      <c r="E7" s="4" t="n">
        <v>128</v>
      </c>
      <c r="F7" s="4"/>
    </row>
    <row r="8" customFormat="false" ht="15" hidden="false" customHeight="false" outlineLevel="0" collapsed="false">
      <c r="A8" s="4" t="s">
        <v>892</v>
      </c>
      <c r="B8" s="4" t="s">
        <v>893</v>
      </c>
      <c r="C8" s="2" t="s">
        <v>891</v>
      </c>
      <c r="D8" s="4" t="n">
        <v>68</v>
      </c>
      <c r="E8" s="4" t="n">
        <v>77</v>
      </c>
      <c r="F8" s="4"/>
    </row>
    <row r="9" customFormat="false" ht="15" hidden="false" customHeight="false" outlineLevel="0" collapsed="false">
      <c r="A9" s="4" t="s">
        <v>894</v>
      </c>
      <c r="B9" s="4" t="s">
        <v>895</v>
      </c>
      <c r="C9" s="2" t="s">
        <v>896</v>
      </c>
      <c r="D9" s="4" t="n">
        <v>0</v>
      </c>
      <c r="E9" s="4" t="n">
        <v>7</v>
      </c>
      <c r="F9" s="4"/>
    </row>
    <row r="10" customFormat="false" ht="15" hidden="false" customHeight="false" outlineLevel="0" collapsed="false">
      <c r="A10" s="4" t="s">
        <v>897</v>
      </c>
      <c r="B10" s="4" t="s">
        <v>898</v>
      </c>
      <c r="C10" s="2" t="s">
        <v>899</v>
      </c>
      <c r="D10" s="4" t="n">
        <v>1</v>
      </c>
      <c r="E10" s="4" t="n">
        <v>12</v>
      </c>
      <c r="F10" s="4"/>
    </row>
    <row r="11" customFormat="false" ht="15" hidden="false" customHeight="false" outlineLevel="0" collapsed="false">
      <c r="A11" s="4" t="s">
        <v>900</v>
      </c>
      <c r="B11" s="4" t="s">
        <v>901</v>
      </c>
      <c r="C11" s="2" t="s">
        <v>902</v>
      </c>
      <c r="D11" s="4" t="n">
        <v>2</v>
      </c>
      <c r="E11" s="4" t="n">
        <v>4</v>
      </c>
      <c r="F11" s="4" t="s">
        <v>903</v>
      </c>
    </row>
    <row r="12" customFormat="false" ht="15" hidden="false" customHeight="false" outlineLevel="0" collapsed="false">
      <c r="A12" s="4" t="s">
        <v>904</v>
      </c>
      <c r="B12" s="4" t="s">
        <v>905</v>
      </c>
      <c r="C12" s="2" t="s">
        <v>906</v>
      </c>
      <c r="D12" s="4" t="n">
        <v>3</v>
      </c>
      <c r="E12" s="4" t="n">
        <v>3</v>
      </c>
      <c r="F12" s="4" t="s">
        <v>907</v>
      </c>
    </row>
    <row r="13" customFormat="false" ht="15" hidden="false" customHeight="false" outlineLevel="0" collapsed="false">
      <c r="A13" s="4" t="s">
        <v>908</v>
      </c>
      <c r="B13" s="4" t="s">
        <v>909</v>
      </c>
      <c r="C13" s="2" t="s">
        <v>910</v>
      </c>
      <c r="D13" s="4" t="n">
        <v>2</v>
      </c>
      <c r="E13" s="4" t="n">
        <v>2</v>
      </c>
      <c r="F13" s="4" t="s">
        <v>911</v>
      </c>
    </row>
    <row r="14" customFormat="false" ht="15" hidden="false" customHeight="false" outlineLevel="0" collapsed="false">
      <c r="A14" s="4" t="s">
        <v>912</v>
      </c>
      <c r="B14" s="4" t="s">
        <v>913</v>
      </c>
      <c r="C14" s="2" t="s">
        <v>914</v>
      </c>
      <c r="D14" s="4" t="n">
        <v>0</v>
      </c>
      <c r="E14" s="4" t="n">
        <v>1</v>
      </c>
      <c r="F14" s="4"/>
    </row>
    <row r="15" customFormat="false" ht="15" hidden="false" customHeight="false" outlineLevel="0" collapsed="false">
      <c r="A15" s="4" t="s">
        <v>915</v>
      </c>
      <c r="B15" s="4" t="s">
        <v>916</v>
      </c>
      <c r="C15" s="2" t="s">
        <v>917</v>
      </c>
      <c r="D15" s="4" t="n">
        <v>0</v>
      </c>
      <c r="E15" s="4" t="n">
        <v>0</v>
      </c>
      <c r="F15" s="4"/>
    </row>
    <row r="17" customFormat="false" ht="15" hidden="false" customHeight="false" outlineLevel="0" collapsed="false">
      <c r="A17" s="13" t="s">
        <v>918</v>
      </c>
    </row>
  </sheetData>
  <autoFilter ref="A1:F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2026-09-25T22:03:59Z</dcterms:created>
  <dc:creator>openpyxl</dc:creator>
  <dc:description/>
  <dc:language>en-US</dc:language>
  <cp:lastModifiedBy/>
  <dcterms:modified xsi:type="dcterms:W3CDTF">2026-09-25T22:03:59Z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